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3120" yWindow="600" windowWidth="20595" windowHeight="9060"/>
  </bookViews>
  <sheets>
    <sheet name="qOpen qClose" sheetId="1" r:id="rId1"/>
    <sheet name="Definitions" sheetId="3" r:id="rId2"/>
    <sheet name="qQuery" sheetId="7" r:id="rId3"/>
    <sheet name="qAtom" sheetId="8" r:id="rId4"/>
    <sheet name="qList" sheetId="9" r:id="rId5"/>
    <sheet name="qDict" sheetId="10" r:id="rId6"/>
    <sheet name="qTable" sheetId="11" r:id="rId7"/>
    <sheet name="data" sheetId="2" r:id="rId8"/>
    <sheet name="Sheet1" sheetId="12" r:id="rId9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7"/>
</calcChain>
</file>

<file path=xl/sharedStrings.xml><?xml version="1.0" encoding="utf-8"?>
<sst xmlns="http://schemas.openxmlformats.org/spreadsheetml/2006/main" count="211" uniqueCount="113">
  <si>
    <t>Host name:</t>
  </si>
  <si>
    <t>Port number:</t>
  </si>
  <si>
    <t>localhost</t>
  </si>
  <si>
    <t>User name:</t>
  </si>
  <si>
    <t>Password:</t>
  </si>
  <si>
    <t>Status:</t>
  </si>
  <si>
    <t>Connection alias:</t>
  </si>
  <si>
    <t>Connected</t>
  </si>
  <si>
    <t>colA</t>
  </si>
  <si>
    <t>colB</t>
  </si>
  <si>
    <t>a</t>
  </si>
  <si>
    <t>b</t>
  </si>
  <si>
    <t>c</t>
  </si>
  <si>
    <t>d</t>
  </si>
  <si>
    <t>e</t>
  </si>
  <si>
    <t>t</t>
  </si>
  <si>
    <t>x</t>
  </si>
  <si>
    <t>sym1</t>
  </si>
  <si>
    <t>sym2</t>
  </si>
  <si>
    <t>Symbol</t>
  </si>
  <si>
    <t>CompanyName</t>
  </si>
  <si>
    <t>Price</t>
  </si>
  <si>
    <t>Change</t>
  </si>
  <si>
    <t>MktCap</t>
  </si>
  <si>
    <t>GOOG</t>
  </si>
  <si>
    <t>YHOO</t>
  </si>
  <si>
    <t>Yahoo! Inc.</t>
  </si>
  <si>
    <t>MSFT</t>
  </si>
  <si>
    <t>Microsoft Corporation</t>
  </si>
  <si>
    <t>AAPL</t>
  </si>
  <si>
    <t>Apple Inc.</t>
  </si>
  <si>
    <t xml:space="preserve">Connection: </t>
  </si>
  <si>
    <t>Result</t>
  </si>
  <si>
    <t>=func:{[p1;p2] :p1*p2}</t>
  </si>
  <si>
    <t>=ret:{[x]:x}</t>
  </si>
  <si>
    <t>=dtTest:{[v;dt] :$[dt=type v;`ok;`nok]}</t>
  </si>
  <si>
    <t>=mixedList:{[l1;l2]:l1,l2}</t>
  </si>
  <si>
    <t>=t1:([]colA:`a`b`c;colB:1 2 3)</t>
  </si>
  <si>
    <t>=t2:([]colA:`a`b`c`c`d`e`e`e;colB:(1 2 3;"text";1;`sym1`sym2;2;3;3;4))</t>
  </si>
  <si>
    <t>=getMax:{:max x}</t>
  </si>
  <si>
    <t>func:{[p1;p2] :p1*p2}</t>
  </si>
  <si>
    <t>ret:{[x]:x}</t>
  </si>
  <si>
    <t>mixedList:{[l1;l2]:l1,l2}</t>
  </si>
  <si>
    <t>t1:([]colA:`a`b`c;colB:1 2 3)</t>
  </si>
  <si>
    <t>t2:([]colA:`a`b`c`c`d`e`e`e;colB:(1 2 3;"text";1;`sym1`sym2;2;3;3;4))</t>
  </si>
  <si>
    <t>getMax:{:max x}</t>
  </si>
  <si>
    <t>testConnection</t>
  </si>
  <si>
    <t>Simple query</t>
  </si>
  <si>
    <t>Function call</t>
  </si>
  <si>
    <t>q-sql</t>
  </si>
  <si>
    <t>Connection:</t>
  </si>
  <si>
    <t>triple:{[p] :3*p}</t>
  </si>
  <si>
    <t>ERR: Der Objektverweis wurde nicht auf eine Objektinstanz festgelegt.</t>
  </si>
  <si>
    <t>Not a table</t>
  </si>
  <si>
    <t>qAtom</t>
  </si>
  <si>
    <t>L0</t>
  </si>
  <si>
    <t>L1</t>
  </si>
  <si>
    <t>L3</t>
  </si>
  <si>
    <t>L4</t>
  </si>
  <si>
    <t>qDict</t>
  </si>
  <si>
    <t>Google Inc</t>
  </si>
  <si>
    <t>qTable</t>
  </si>
  <si>
    <t>vertical (L0)</t>
  </si>
  <si>
    <t>horizontal (L1)</t>
  </si>
  <si>
    <t>2D (L2)</t>
  </si>
  <si>
    <t>multiplication (L1*L3)</t>
  </si>
  <si>
    <t>mixed list (L3,L4)</t>
  </si>
  <si>
    <t>{.tst.vL:x}</t>
  </si>
  <si>
    <t>{.tst.hL:x}</t>
  </si>
  <si>
    <t>{.tst.2D:x}</t>
  </si>
  <si>
    <t>{.tst.d:x}</t>
  </si>
  <si>
    <t>{.tst.t:x}</t>
  </si>
  <si>
    <t>dtTest:{[v;dt] :$[dt=type v;`ok;`nok]}</t>
  </si>
  <si>
    <t>ok</t>
  </si>
  <si>
    <t>nok</t>
  </si>
  <si>
    <t>Definition 1</t>
  </si>
  <si>
    <t>Definition 2</t>
  </si>
  <si>
    <t>Definition 3</t>
  </si>
  <si>
    <t>Definition 4</t>
  </si>
  <si>
    <t>Definition 5</t>
  </si>
  <si>
    <t>Definition 6</t>
  </si>
  <si>
    <t>Definition 7</t>
  </si>
  <si>
    <t>= qXL.qQuery(connAlias, "1b")</t>
  </si>
  <si>
    <t>= qXL.qQuery(connAlias, "2 + 2")</t>
  </si>
  <si>
    <t>= qXL.qQuery(connAlias, ".z.D")</t>
  </si>
  <si>
    <t>= qXL.qQuery(connAlias, "10* 1 2 3")</t>
  </si>
  <si>
    <t>= qXL.qQuery(connAlias, "func", 3, 10)</t>
  </si>
  <si>
    <t>= qXL.qQuery(connAlias, "triple:{[p] :3*p}")</t>
  </si>
  <si>
    <t>= qXL.qQuery(connAlias, "triple", 40)</t>
  </si>
  <si>
    <t>= qXL.qQuery(connAlias, "getMax", qXL.qList(arrayMax, "i"))
' with
Dim arrayMax As Variant
arrayMax = Sheets("qQuery").Range("D11:F11")</t>
  </si>
  <si>
    <t>= qXL.qQuery(connAlias, "t1")</t>
  </si>
  <si>
    <t>= qXL.qQuery(connAlias, t1)</t>
  </si>
  <si>
    <t>= qXL.qQuery(connAlias, "select from t2 where colA=`d")</t>
  </si>
  <si>
    <t>= qXL.qQuery(connAlias, "select from t2 where colA=`c")</t>
  </si>
  <si>
    <t>= qXL.qQuery(connAlias, "flip last select from t2 where colA=`c")</t>
  </si>
  <si>
    <t>= qXL.qQuery(connAlias, "ungroup 0!select raze raze enlist colB by colA from t2")</t>
  </si>
  <si>
    <t>= qXL.qQuery(connAlias, "func", qXL.qAtom(10, "i"), 20)</t>
  </si>
  <si>
    <t>= qXL.qQuery(connAlias, "func", qXL.qAtom(10.99, "i"), 20)</t>
  </si>
  <si>
    <t>= qXL.qQuery(connAlias, "dtTest", qXL.qAtom(255, "i"), -6)</t>
  </si>
  <si>
    <t>= qXL.qQuery(connAlias, "dtTest", qXL.qAtom(255, "i"), -8)</t>
  </si>
  <si>
    <t>= qXL.qQuery(connAlias, "dtTest", qXL.qAtom(255, "e"), -8)</t>
  </si>
  <si>
    <t>Input function</t>
  </si>
  <si>
    <t>VBA code</t>
  </si>
  <si>
    <t>= qXL.qQuery(connAlias, "{.tst.vL:x}", qXL.qList(arrayList1, "i"))
' with
Dim arrayList1 As Variant
arrayList1 = Sheets("qList").Range("L1:L3")</t>
  </si>
  <si>
    <t>= qXL.qQuery(connAlias, "{.tst.hL:x}", qXL.qList(arrayList2, "i"))
' with
Dim arrayList2 As Variant
arrayList2 = Sheets("qList").Range("K4:M4")</t>
  </si>
  <si>
    <t>= qXL.qQuery(connAlias, "{.tst.2D:x}", qXL.qList(arrayList3, "i"))
' with
Dim arrayList3 As Variant
arrayList3 = Sheets("qList").Range("K5:M7")</t>
  </si>
  <si>
    <t>= qXL.qQuery(connAlias, "func", qXL.qList(arrayList4, "i"), qXL.qList(arrayList5, "i"))
' with
Dim arrayList4 As Variant
arrayList4 = Sheets("qList").Range("K4:M4")
Dim arrayList5 As Variant
arrayList5 = Sheets("qList").Range("K8:M8")</t>
  </si>
  <si>
    <t>= qXL.qQuery(connAlias, "mixedList", qXL.qList(arrayList6, "i"), qXL.qList(arrayList7, "s"))
' with
Dim arrayList6 As Variant
arrayList6 = Sheets("qList").Range("K8:M8")
Dim arrayList7 As Variant
arrayList7 = Sheets("qList").Range("K9:M9")</t>
  </si>
  <si>
    <t xml:space="preserve">
L2</t>
  </si>
  <si>
    <t>= qXL.qQuery(connAlias, "{[x]:x}", qXL.qDict(arrayDictColumnNames, arrayDictDataMatrix, "ssfff"))
' with
Dim arrayDictColumnNames As Variant
arrayDictColumnNames = Sheets("data").Range("A1:E1")
Dim arrayDictDataMatrix As Variant
arrayDictDataMatrix = Sheets("data").Range("A2:E5")</t>
  </si>
  <si>
    <t>= qXL.qQuery(connAlias, "{.tst.d:x}", qXL.qDict(arrayDictColumnNames, arrayDictDataMatrix, "ssfff"))</t>
  </si>
  <si>
    <t>= qXL.qQuery(connAlias, "{[x]:x}", qXL.qTable(arrayTableColumnNames, arrayTableDataMatrix, "ssfff", arrayTableKey))
'with
Dim arrayTableColumnNames As Variant
arrayTableColumnNames = Sheets("data").Range("A1:E1")
Dim arrayTableDataMatrix As Variant
arrayTableDataMatrix = Sheets("data").Range("A2:E5")
Dim arrayTableKey As Variant
arrayTableKey = Sheets("data").Range("A1")</t>
  </si>
  <si>
    <t>= qXL.qQuery(connAlias, "{.tst.t:x}", qXL.qTable(arrayTableColumnNames, arrayTableDataMatrix, "ssfff", arrayTableKey))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</si>
</sst>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onsolas"/>
      <family val="3"/>
    </font>
    <font>
      <sz val="9"/>
      <name val="Consolas"/>
      <family val="3"/>
    </font>
    <font>
      <b/>
      <sz val="9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0" xfId="0" applyFill="1"/>
    <xf numFmtId="0" fontId="0" fillId="0" borderId="0" xfId="0" applyFill="1" applyAlignment="1"/>
    <xf numFmtId="0" fontId="0" fillId="0" borderId="0" xfId="0" applyFill="1" applyBorder="1"/>
    <xf numFmtId="0" fontId="0" fillId="0" borderId="0" xfId="0" applyFill="1" applyAlignment="1">
      <alignment horizontal="right"/>
    </xf>
    <xf numFmtId="0" fontId="1" fillId="0" borderId="0" xfId="0" applyFont="1" applyFill="1"/>
    <xf numFmtId="0" fontId="0" fillId="2" borderId="0" xfId="0" applyNumberFormat="1" applyFill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3" fillId="0" borderId="0" xfId="0" applyFont="1"/>
    <xf numFmtId="0" fontId="0" fillId="0" borderId="0" xfId="0" quotePrefix="1"/>
    <xf numFmtId="0" fontId="3" fillId="0" borderId="0" xfId="0" quotePrefix="1" applyFont="1" applyAlignment="1">
      <alignment vertical="top"/>
    </xf>
    <xf numFmtId="0" fontId="3" fillId="0" borderId="0" xfId="0" quotePrefix="1" applyFont="1" applyAlignment="1"/>
    <xf numFmtId="14" fontId="0" fillId="0" borderId="0" xfId="0" applyNumberFormat="1"/>
    <xf numFmtId="0" fontId="3" fillId="3" borderId="0" xfId="0" quotePrefix="1" applyFont="1" applyFill="1"/>
    <xf numFmtId="0" fontId="3" fillId="0" borderId="0" xfId="0" applyFont="1" applyBorder="1"/>
    <xf numFmtId="0" fontId="3" fillId="0" borderId="0" xfId="0" applyFont="1" applyAlignment="1">
      <alignment horizontal="center" vertical="center"/>
    </xf>
    <xf numFmtId="0" fontId="4" fillId="0" borderId="0" xfId="0" quotePrefix="1" applyFont="1" applyFill="1"/>
    <xf numFmtId="0" fontId="4" fillId="4" borderId="0" xfId="0" quotePrefix="1" applyFont="1" applyFill="1"/>
    <xf numFmtId="0" fontId="4" fillId="5" borderId="0" xfId="0" quotePrefix="1" applyFont="1" applyFill="1"/>
    <xf numFmtId="0" fontId="4" fillId="6" borderId="0" xfId="0" quotePrefix="1" applyFont="1" applyFill="1"/>
    <xf numFmtId="0" fontId="3" fillId="0" borderId="0" xfId="0" quotePrefix="1" applyFont="1" applyBorder="1"/>
    <xf numFmtId="0" fontId="4" fillId="7" borderId="0" xfId="0" quotePrefix="1" applyFont="1" applyFill="1"/>
    <xf numFmtId="0" fontId="4" fillId="8" borderId="0" xfId="0" quotePrefix="1" applyFont="1" applyFill="1"/>
    <xf numFmtId="0" fontId="0" fillId="0" borderId="0" xfId="0" applyNumberFormat="1"/>
    <xf numFmtId="0" fontId="1" fillId="0" borderId="0" xfId="0" applyFont="1"/>
    <xf numFmtId="0" fontId="5" fillId="0" borderId="0" xfId="0" applyFont="1"/>
    <xf numFmtId="0" fontId="0" fillId="0" borderId="0" xfId="0" applyBorder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1" fillId="0" borderId="0" xfId="0" applyFont="1" applyBorder="1" applyAlignment="1">
      <alignment horizontal="center"/>
    </xf>
    <xf numFmtId="0" fontId="5" fillId="0" borderId="0" xfId="0" applyFont="1" applyBorder="1"/>
    <xf numFmtId="0" fontId="3" fillId="0" borderId="0" xfId="0" quotePrefix="1" applyFont="1" applyAlignment="1">
      <alignment wrapText="1"/>
    </xf>
    <xf numFmtId="0" fontId="3" fillId="0" borderId="0" xfId="0" quotePrefix="1" applyFont="1" applyAlignment="1">
      <alignment vertical="top" wrapText="1"/>
    </xf>
    <xf numFmtId="0" fontId="3" fillId="0" borderId="0" xfId="0" applyFont="1" applyAlignment="1">
      <alignment vertical="top"/>
    </xf>
    <xf numFmtId="0" fontId="3" fillId="0" borderId="0" xfId="0" quotePrefix="1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quotePrefix="1" applyFont="1" applyBorder="1" applyAlignment="1">
      <alignment wrapText="1"/>
    </xf>
  </cellXfs>
  <cellStyles count="1">
    <cellStyle name="Standard" xfId="0" builtinId="0"/>
  </cellStyles>
  <dxfs count="2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1</xdr:row>
      <xdr:rowOff>161925</xdr:rowOff>
    </xdr:from>
    <xdr:to>
      <xdr:col>7</xdr:col>
      <xdr:colOff>552447</xdr:colOff>
      <xdr:row>18</xdr:row>
      <xdr:rowOff>28575</xdr:rowOff>
    </xdr:to>
    <xdr:sp macro="" textlink="">
      <xdr:nvSpPr>
        <xdr:cNvPr id="2" name="Left-Up Arrow 1"/>
        <xdr:cNvSpPr/>
      </xdr:nvSpPr>
      <xdr:spPr>
        <a:xfrm>
          <a:off x="7953374" y="352425"/>
          <a:ext cx="3533773" cy="3533775"/>
        </a:xfrm>
        <a:prstGeom prst="leftUpArrow">
          <a:avLst>
            <a:gd name="adj1" fmla="val 2740"/>
            <a:gd name="adj2" fmla="val 3072"/>
            <a:gd name="adj3" fmla="val 6257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28575</xdr:rowOff>
    </xdr:from>
    <xdr:to>
      <xdr:col>10</xdr:col>
      <xdr:colOff>1</xdr:colOff>
      <xdr:row>2</xdr:row>
      <xdr:rowOff>581025</xdr:rowOff>
    </xdr:to>
    <xdr:sp macro="" textlink="">
      <xdr:nvSpPr>
        <xdr:cNvPr id="2" name="Left Brace 1"/>
        <xdr:cNvSpPr/>
      </xdr:nvSpPr>
      <xdr:spPr>
        <a:xfrm>
          <a:off x="9410700" y="28575"/>
          <a:ext cx="514351" cy="933450"/>
        </a:xfrm>
        <a:prstGeom prst="leftBrac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257173</xdr:colOff>
      <xdr:row>4</xdr:row>
      <xdr:rowOff>28575</xdr:rowOff>
    </xdr:from>
    <xdr:to>
      <xdr:col>9</xdr:col>
      <xdr:colOff>428624</xdr:colOff>
      <xdr:row>6</xdr:row>
      <xdr:rowOff>914400</xdr:rowOff>
    </xdr:to>
    <xdr:sp macro="" textlink="">
      <xdr:nvSpPr>
        <xdr:cNvPr id="3" name="Left Brace 2"/>
        <xdr:cNvSpPr/>
      </xdr:nvSpPr>
      <xdr:spPr>
        <a:xfrm>
          <a:off x="11277598" y="1619250"/>
          <a:ext cx="171451" cy="2381250"/>
        </a:xfrm>
        <a:prstGeom prst="leftBrac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257769</xdr:colOff>
      <xdr:row>3</xdr:row>
      <xdr:rowOff>38100</xdr:rowOff>
    </xdr:from>
    <xdr:to>
      <xdr:col>9</xdr:col>
      <xdr:colOff>400050</xdr:colOff>
      <xdr:row>3</xdr:row>
      <xdr:rowOff>581025</xdr:rowOff>
    </xdr:to>
    <xdr:sp macro="" textlink="">
      <xdr:nvSpPr>
        <xdr:cNvPr id="4" name="Left Brace 3"/>
        <xdr:cNvSpPr/>
      </xdr:nvSpPr>
      <xdr:spPr>
        <a:xfrm>
          <a:off x="9420819" y="1019175"/>
          <a:ext cx="142281" cy="54292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267294</xdr:colOff>
      <xdr:row>7</xdr:row>
      <xdr:rowOff>9525</xdr:rowOff>
    </xdr:from>
    <xdr:to>
      <xdr:col>9</xdr:col>
      <xdr:colOff>419101</xdr:colOff>
      <xdr:row>7</xdr:row>
      <xdr:rowOff>171450</xdr:rowOff>
    </xdr:to>
    <xdr:sp macro="" textlink="">
      <xdr:nvSpPr>
        <xdr:cNvPr id="5" name="Left Brace 4"/>
        <xdr:cNvSpPr/>
      </xdr:nvSpPr>
      <xdr:spPr>
        <a:xfrm>
          <a:off x="8515944" y="1343025"/>
          <a:ext cx="151807" cy="161925"/>
        </a:xfrm>
        <a:prstGeom prst="leftBrac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257769</xdr:colOff>
      <xdr:row>8</xdr:row>
      <xdr:rowOff>19050</xdr:rowOff>
    </xdr:from>
    <xdr:to>
      <xdr:col>9</xdr:col>
      <xdr:colOff>409576</xdr:colOff>
      <xdr:row>8</xdr:row>
      <xdr:rowOff>180975</xdr:rowOff>
    </xdr:to>
    <xdr:sp macro="" textlink="">
      <xdr:nvSpPr>
        <xdr:cNvPr id="6" name="Left Brace 5"/>
        <xdr:cNvSpPr/>
      </xdr:nvSpPr>
      <xdr:spPr>
        <a:xfrm>
          <a:off x="8506419" y="1543050"/>
          <a:ext cx="151807" cy="161925"/>
        </a:xfrm>
        <a:prstGeom prst="leftBrace">
          <a:avLst/>
        </a:prstGeom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32"/>
  <sheetViews>
    <sheetView tabSelected="1" workbookViewId="0">
      <selection activeCell="F10" sqref="F10"/>
    </sheetView>
  </sheetViews>
  <sheetFormatPr baseColWidth="10" defaultColWidth="9.140625" defaultRowHeight="15"/>
  <cols>
    <col min="1" max="1" width="17.85546875" style="5" customWidth="1"/>
    <col min="2" max="2" width="17.42578125" style="8" customWidth="1"/>
    <col min="3" max="5" width="9.140625" style="5"/>
    <col min="6" max="6" width="10.85546875" style="5" customWidth="1"/>
    <col min="7" max="7" width="18.85546875" style="5" bestFit="1" customWidth="1"/>
    <col min="8" max="16384" width="9.140625" style="5"/>
  </cols>
  <sheetData>
    <row r="1" spans="1:22">
      <c r="A1" s="3" t="s">
        <v>6</v>
      </c>
      <c r="B1" s="4" t="s">
        <v>46</v>
      </c>
      <c r="F1" s="6"/>
      <c r="G1" s="5" t="s">
        <v>5</v>
      </c>
      <c r="K1"/>
      <c r="L1"/>
      <c r="M1"/>
      <c r="O1"/>
      <c r="R1"/>
      <c r="S1"/>
      <c r="T1"/>
      <c r="U1"/>
      <c r="V1"/>
    </row>
    <row r="2" spans="1:22">
      <c r="A2" s="1" t="s">
        <v>0</v>
      </c>
      <c r="B2" s="2" t="s">
        <v>2</v>
      </c>
      <c r="F2" s="6"/>
      <c r="G2" s="5" t="s">
        <v>7</v>
      </c>
      <c r="K2"/>
      <c r="L2"/>
      <c r="M2"/>
      <c r="O2"/>
      <c r="R2"/>
      <c r="S2"/>
      <c r="T2"/>
      <c r="U2"/>
      <c r="V2"/>
    </row>
    <row r="3" spans="1:22">
      <c r="A3" s="3" t="s">
        <v>1</v>
      </c>
      <c r="B3" s="4">
        <v>5001</v>
      </c>
      <c r="F3" s="6"/>
      <c r="K3"/>
      <c r="L3"/>
      <c r="M3"/>
      <c r="O3"/>
      <c r="R3"/>
      <c r="S3"/>
      <c r="T3"/>
      <c r="U3"/>
      <c r="V3"/>
    </row>
    <row r="4" spans="1:22">
      <c r="A4" s="1" t="s">
        <v>3</v>
      </c>
      <c r="B4" s="2"/>
      <c r="F4" s="6"/>
      <c r="K4"/>
      <c r="L4"/>
      <c r="M4"/>
      <c r="O4"/>
      <c r="R4"/>
      <c r="S4"/>
      <c r="T4"/>
      <c r="U4"/>
      <c r="V4"/>
    </row>
    <row r="5" spans="1:22">
      <c r="A5" s="3" t="s">
        <v>4</v>
      </c>
      <c r="B5" s="4"/>
      <c r="F5" s="6"/>
      <c r="K5"/>
      <c r="L5"/>
      <c r="M5"/>
      <c r="O5"/>
      <c r="R5"/>
      <c r="S5"/>
      <c r="T5"/>
      <c r="U5"/>
      <c r="V5"/>
    </row>
    <row r="6" spans="1:22">
      <c r="F6" s="7"/>
      <c r="G6" s="7"/>
      <c r="K6"/>
      <c r="L6"/>
      <c r="M6"/>
      <c r="O6"/>
    </row>
    <row r="7" spans="1:22">
      <c r="D7" s="9"/>
      <c r="K7"/>
      <c r="L7"/>
      <c r="M7"/>
    </row>
    <row r="8" spans="1:22">
      <c r="F8" s="7"/>
      <c r="G8" s="7"/>
      <c r="K8"/>
      <c r="L8"/>
      <c r="M8"/>
    </row>
    <row r="9" spans="1:22">
      <c r="F9" s="7"/>
      <c r="G9" s="7"/>
      <c r="K9"/>
      <c r="L9"/>
      <c r="M9"/>
    </row>
    <row r="10" spans="1:22">
      <c r="F10" s="7"/>
      <c r="G10" s="7"/>
    </row>
    <row r="11" spans="1:22">
      <c r="F11" s="7"/>
      <c r="G11" s="7"/>
    </row>
    <row r="12" spans="1:22">
      <c r="F12" s="7"/>
      <c r="G12" s="7"/>
    </row>
    <row r="13" spans="1:22">
      <c r="F13" s="7"/>
      <c r="G13" s="7"/>
    </row>
    <row r="14" spans="1:22">
      <c r="F14" s="7"/>
      <c r="G14" s="7"/>
    </row>
    <row r="15" spans="1:22">
      <c r="F15" s="7"/>
      <c r="G15" s="7"/>
    </row>
    <row r="16" spans="1:22">
      <c r="F16" s="7"/>
      <c r="G16" s="7"/>
    </row>
    <row r="17" spans="5:7">
      <c r="F17" s="7"/>
      <c r="G17" s="7"/>
    </row>
    <row r="18" spans="5:7">
      <c r="F18" s="7"/>
      <c r="G18" s="7"/>
    </row>
    <row r="19" spans="5:7">
      <c r="F19" s="7"/>
      <c r="G19" s="7"/>
    </row>
    <row r="20" spans="5:7">
      <c r="E20" s="7"/>
      <c r="G20" s="7"/>
    </row>
    <row r="21" spans="5:7">
      <c r="E21" s="7"/>
      <c r="G21" s="7"/>
    </row>
    <row r="22" spans="5:7">
      <c r="E22" s="7"/>
      <c r="G22" s="7"/>
    </row>
    <row r="23" spans="5:7">
      <c r="E23" s="7"/>
      <c r="F23" s="7"/>
      <c r="G23" s="7"/>
    </row>
    <row r="24" spans="5:7">
      <c r="F24" s="7"/>
      <c r="G24" s="7"/>
    </row>
    <row r="25" spans="5:7">
      <c r="F25" s="7"/>
      <c r="G25" s="7"/>
    </row>
    <row r="26" spans="5:7">
      <c r="F26" s="7"/>
      <c r="G26" s="7"/>
    </row>
    <row r="27" spans="5:7">
      <c r="F27" s="7"/>
      <c r="G27" s="7"/>
    </row>
    <row r="28" spans="5:7">
      <c r="F28" s="7"/>
      <c r="G28" s="7"/>
    </row>
    <row r="29" spans="5:7">
      <c r="F29" s="7"/>
      <c r="G29" s="7"/>
    </row>
    <row r="30" spans="5:7">
      <c r="F30" s="7"/>
      <c r="G30" s="7"/>
    </row>
    <row r="31" spans="5:7">
      <c r="F31" s="7"/>
      <c r="G31" s="7"/>
    </row>
    <row r="32" spans="5:7">
      <c r="F32" s="7"/>
      <c r="G32" s="7"/>
    </row>
  </sheetData>
  <conditionalFormatting sqref="G2">
    <cfRule type="cellIs" dxfId="1" priority="1" operator="notEqual">
      <formula>"Connected"</formula>
    </cfRule>
    <cfRule type="cellIs" dxfId="0" priority="2" operator="equal">
      <formula>"Connected"</formula>
    </cfRule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C16"/>
  <sheetViews>
    <sheetView workbookViewId="0">
      <selection activeCell="B3" sqref="B3"/>
    </sheetView>
  </sheetViews>
  <sheetFormatPr baseColWidth="10" defaultRowHeight="15"/>
  <cols>
    <col min="1" max="1" width="19.42578125" customWidth="1"/>
    <col min="2" max="2" width="72.7109375" bestFit="1" customWidth="1"/>
    <col min="3" max="3" width="71.5703125" bestFit="1" customWidth="1"/>
  </cols>
  <sheetData>
    <row r="1" spans="1:3">
      <c r="B1" s="2" t="s">
        <v>50</v>
      </c>
      <c r="C1" s="10" t="s">
        <v>46</v>
      </c>
    </row>
    <row r="2" spans="1:3">
      <c r="B2" s="11" t="s">
        <v>101</v>
      </c>
      <c r="C2" s="12" t="s">
        <v>32</v>
      </c>
    </row>
    <row r="3" spans="1:3">
      <c r="A3" s="14" t="s">
        <v>75</v>
      </c>
      <c r="B3" s="13" t="s">
        <v>33</v>
      </c>
      <c r="C3" s="14" t="s">
        <v>40</v>
      </c>
    </row>
    <row r="4" spans="1:3">
      <c r="A4" s="14" t="s">
        <v>76</v>
      </c>
      <c r="B4" s="13" t="s">
        <v>34</v>
      </c>
      <c r="C4" s="14" t="s">
        <v>41</v>
      </c>
    </row>
    <row r="5" spans="1:3">
      <c r="A5" s="14" t="s">
        <v>77</v>
      </c>
      <c r="B5" s="13" t="s">
        <v>35</v>
      </c>
      <c r="C5" s="14" t="s">
        <v>72</v>
      </c>
    </row>
    <row r="6" spans="1:3">
      <c r="A6" s="14" t="s">
        <v>78</v>
      </c>
      <c r="B6" s="13" t="s">
        <v>36</v>
      </c>
      <c r="C6" s="14" t="s">
        <v>42</v>
      </c>
    </row>
    <row r="7" spans="1:3">
      <c r="A7" s="14" t="s">
        <v>79</v>
      </c>
      <c r="B7" s="13" t="s">
        <v>37</v>
      </c>
      <c r="C7" s="14" t="s">
        <v>43</v>
      </c>
    </row>
    <row r="8" spans="1:3">
      <c r="A8" s="14" t="s">
        <v>80</v>
      </c>
      <c r="B8" s="13" t="s">
        <v>38</v>
      </c>
      <c r="C8" s="14" t="s">
        <v>44</v>
      </c>
    </row>
    <row r="9" spans="1:3">
      <c r="A9" s="14" t="s">
        <v>81</v>
      </c>
      <c r="B9" s="13" t="s">
        <v>39</v>
      </c>
      <c r="C9" s="14" t="s">
        <v>45</v>
      </c>
    </row>
    <row r="16" spans="1:3">
      <c r="B16" s="15"/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H45"/>
  <sheetViews>
    <sheetView workbookViewId="0">
      <selection activeCell="B21" sqref="B21"/>
    </sheetView>
  </sheetViews>
  <sheetFormatPr baseColWidth="10" defaultRowHeight="15"/>
  <cols>
    <col min="1" max="1" width="19.42578125" customWidth="1"/>
    <col min="2" max="2" width="84" bestFit="1" customWidth="1"/>
    <col min="3" max="3" width="14.85546875" customWidth="1"/>
  </cols>
  <sheetData>
    <row r="1" spans="1:8">
      <c r="B1" s="2" t="s">
        <v>50</v>
      </c>
      <c r="C1" s="1" t="s">
        <v>46</v>
      </c>
      <c r="H1" s="19" t="s">
        <v>53</v>
      </c>
    </row>
    <row r="2" spans="1:8">
      <c r="B2" s="11" t="s">
        <v>102</v>
      </c>
      <c r="C2" s="12" t="s">
        <v>32</v>
      </c>
    </row>
    <row r="3" spans="1:8">
      <c r="A3" s="13" t="s">
        <v>47</v>
      </c>
      <c r="B3" s="13" t="s">
        <v>82</v>
      </c>
      <c r="C3" t="b">
        <v>1</v>
      </c>
    </row>
    <row r="4" spans="1:8">
      <c r="A4" s="13" t="s">
        <v>47</v>
      </c>
      <c r="B4" s="13" t="s">
        <v>83</v>
      </c>
      <c r="C4" s="29">
        <v>4</v>
      </c>
    </row>
    <row r="5" spans="1:8">
      <c r="A5" s="13" t="s">
        <v>47</v>
      </c>
      <c r="B5" s="13" t="s">
        <v>84</v>
      </c>
      <c r="C5" s="18">
        <v>41851</v>
      </c>
      <c r="D5" s="18">
        <f>C5</f>
        <v>41851</v>
      </c>
    </row>
    <row r="6" spans="1:8">
      <c r="A6" s="13" t="s">
        <v>47</v>
      </c>
      <c r="B6" s="13" t="s">
        <v>85</v>
      </c>
      <c r="C6">
        <v>10</v>
      </c>
      <c r="D6">
        <v>20</v>
      </c>
      <c r="E6">
        <v>30</v>
      </c>
    </row>
    <row r="7" spans="1:8">
      <c r="A7" s="13"/>
      <c r="B7" s="14"/>
    </row>
    <row r="8" spans="1:8">
      <c r="A8" s="13" t="s">
        <v>48</v>
      </c>
      <c r="B8" s="13" t="s">
        <v>86</v>
      </c>
      <c r="C8">
        <v>30</v>
      </c>
    </row>
    <row r="9" spans="1:8">
      <c r="A9" s="13" t="s">
        <v>48</v>
      </c>
      <c r="B9" s="13" t="s">
        <v>87</v>
      </c>
      <c r="C9" t="s">
        <v>51</v>
      </c>
    </row>
    <row r="10" spans="1:8">
      <c r="A10" s="13" t="s">
        <v>48</v>
      </c>
      <c r="B10" s="13" t="s">
        <v>88</v>
      </c>
      <c r="C10">
        <v>120</v>
      </c>
    </row>
    <row r="11" spans="1:8" ht="48.75">
      <c r="A11" s="13" t="s">
        <v>48</v>
      </c>
      <c r="B11" s="37" t="s">
        <v>89</v>
      </c>
      <c r="C11">
        <v>48</v>
      </c>
      <c r="D11">
        <v>15</v>
      </c>
      <c r="E11">
        <v>18</v>
      </c>
      <c r="F11">
        <v>48</v>
      </c>
    </row>
    <row r="12" spans="1:8">
      <c r="A12" s="13"/>
      <c r="B12" s="13"/>
    </row>
    <row r="13" spans="1:8">
      <c r="A13" s="13" t="s">
        <v>49</v>
      </c>
      <c r="B13" s="13" t="s">
        <v>90</v>
      </c>
      <c r="C13" t="s">
        <v>8</v>
      </c>
      <c r="D13" t="s">
        <v>9</v>
      </c>
    </row>
    <row r="14" spans="1:8">
      <c r="A14" s="13"/>
      <c r="B14" s="13"/>
      <c r="C14" t="s">
        <v>10</v>
      </c>
      <c r="D14">
        <v>1</v>
      </c>
    </row>
    <row r="15" spans="1:8">
      <c r="A15" s="13"/>
      <c r="B15" s="13"/>
      <c r="C15" t="s">
        <v>11</v>
      </c>
      <c r="D15">
        <v>2</v>
      </c>
    </row>
    <row r="16" spans="1:8">
      <c r="A16" s="13"/>
      <c r="B16" s="13"/>
      <c r="C16" t="s">
        <v>12</v>
      </c>
      <c r="D16">
        <v>3</v>
      </c>
    </row>
    <row r="17" spans="1:4">
      <c r="A17" s="13"/>
      <c r="B17" s="13"/>
    </row>
    <row r="18" spans="1:4">
      <c r="A18" s="13" t="s">
        <v>49</v>
      </c>
      <c r="B18" s="13" t="s">
        <v>91</v>
      </c>
      <c r="C18" t="s">
        <v>52</v>
      </c>
    </row>
    <row r="19" spans="1:4">
      <c r="A19" s="13"/>
      <c r="B19" s="13"/>
    </row>
    <row r="20" spans="1:4">
      <c r="A20" s="13" t="s">
        <v>49</v>
      </c>
      <c r="B20" s="13" t="s">
        <v>92</v>
      </c>
      <c r="C20" t="s">
        <v>8</v>
      </c>
      <c r="D20" t="s">
        <v>9</v>
      </c>
    </row>
    <row r="21" spans="1:4">
      <c r="A21" s="13"/>
      <c r="B21" s="13"/>
      <c r="C21" t="s">
        <v>13</v>
      </c>
      <c r="D21">
        <v>2</v>
      </c>
    </row>
    <row r="22" spans="1:4">
      <c r="A22" s="13"/>
      <c r="B22" s="13"/>
    </row>
    <row r="23" spans="1:4">
      <c r="A23" s="13" t="s">
        <v>49</v>
      </c>
      <c r="B23" s="13" t="s">
        <v>93</v>
      </c>
      <c r="C23" t="s">
        <v>8</v>
      </c>
      <c r="D23" t="s">
        <v>9</v>
      </c>
    </row>
    <row r="24" spans="1:4">
      <c r="A24" s="13"/>
      <c r="B24" s="13"/>
      <c r="C24" t="s">
        <v>12</v>
      </c>
      <c r="D24">
        <v>1</v>
      </c>
    </row>
    <row r="25" spans="1:4">
      <c r="A25" s="13"/>
      <c r="B25" s="13"/>
      <c r="C25" t="s">
        <v>12</v>
      </c>
    </row>
    <row r="26" spans="1:4">
      <c r="A26" s="13"/>
      <c r="B26" s="13"/>
    </row>
    <row r="27" spans="1:4">
      <c r="A27" s="13" t="s">
        <v>49</v>
      </c>
      <c r="B27" s="13" t="s">
        <v>94</v>
      </c>
      <c r="C27" t="s">
        <v>8</v>
      </c>
      <c r="D27" t="s">
        <v>9</v>
      </c>
    </row>
    <row r="28" spans="1:4">
      <c r="A28" s="13"/>
      <c r="B28" s="13"/>
      <c r="C28" t="s">
        <v>12</v>
      </c>
      <c r="D28" t="s">
        <v>17</v>
      </c>
    </row>
    <row r="29" spans="1:4">
      <c r="A29" s="13"/>
      <c r="B29" s="13"/>
      <c r="C29" t="s">
        <v>12</v>
      </c>
      <c r="D29" t="s">
        <v>18</v>
      </c>
    </row>
    <row r="30" spans="1:4">
      <c r="A30" s="13"/>
    </row>
    <row r="31" spans="1:4">
      <c r="A31" s="16" t="s">
        <v>49</v>
      </c>
      <c r="B31" s="17" t="s">
        <v>95</v>
      </c>
      <c r="C31" t="s">
        <v>8</v>
      </c>
      <c r="D31" t="s">
        <v>9</v>
      </c>
    </row>
    <row r="32" spans="1:4">
      <c r="A32" s="13"/>
      <c r="B32" s="13"/>
      <c r="C32" t="s">
        <v>10</v>
      </c>
      <c r="D32">
        <v>1</v>
      </c>
    </row>
    <row r="33" spans="1:4">
      <c r="A33" s="13"/>
      <c r="B33" s="13"/>
      <c r="C33" t="s">
        <v>10</v>
      </c>
      <c r="D33">
        <v>2</v>
      </c>
    </row>
    <row r="34" spans="1:4">
      <c r="A34" s="13"/>
      <c r="B34" s="13"/>
      <c r="C34" t="s">
        <v>10</v>
      </c>
      <c r="D34">
        <v>3</v>
      </c>
    </row>
    <row r="35" spans="1:4">
      <c r="A35" s="13"/>
      <c r="B35" s="13"/>
      <c r="C35" t="s">
        <v>11</v>
      </c>
      <c r="D35" t="s">
        <v>15</v>
      </c>
    </row>
    <row r="36" spans="1:4">
      <c r="A36" s="13"/>
      <c r="B36" s="13"/>
      <c r="C36" t="s">
        <v>11</v>
      </c>
      <c r="D36" t="s">
        <v>14</v>
      </c>
    </row>
    <row r="37" spans="1:4">
      <c r="A37" s="13"/>
      <c r="B37" s="13"/>
      <c r="C37" t="s">
        <v>11</v>
      </c>
      <c r="D37" t="s">
        <v>16</v>
      </c>
    </row>
    <row r="38" spans="1:4">
      <c r="A38" s="13"/>
      <c r="B38" s="13"/>
      <c r="C38" t="s">
        <v>11</v>
      </c>
      <c r="D38" t="s">
        <v>15</v>
      </c>
    </row>
    <row r="39" spans="1:4">
      <c r="A39" s="13"/>
      <c r="B39" s="13"/>
      <c r="C39" t="s">
        <v>12</v>
      </c>
      <c r="D39">
        <v>1</v>
      </c>
    </row>
    <row r="40" spans="1:4">
      <c r="A40" s="13"/>
      <c r="B40" s="13"/>
      <c r="C40" t="s">
        <v>12</v>
      </c>
      <c r="D40" t="s">
        <v>17</v>
      </c>
    </row>
    <row r="41" spans="1:4">
      <c r="A41" s="13"/>
      <c r="B41" s="13"/>
      <c r="C41" t="s">
        <v>12</v>
      </c>
      <c r="D41" t="s">
        <v>18</v>
      </c>
    </row>
    <row r="42" spans="1:4">
      <c r="A42" s="13"/>
      <c r="B42" s="13"/>
      <c r="C42" t="s">
        <v>13</v>
      </c>
      <c r="D42">
        <v>2</v>
      </c>
    </row>
    <row r="43" spans="1:4">
      <c r="A43" s="13"/>
      <c r="B43" s="13"/>
      <c r="C43" t="s">
        <v>14</v>
      </c>
      <c r="D43">
        <v>3</v>
      </c>
    </row>
    <row r="44" spans="1:4">
      <c r="A44" s="13"/>
      <c r="B44" s="13"/>
      <c r="C44" t="s">
        <v>14</v>
      </c>
      <c r="D44">
        <v>3</v>
      </c>
    </row>
    <row r="45" spans="1:4">
      <c r="A45" s="13"/>
      <c r="B45" s="13"/>
      <c r="C45" t="s">
        <v>14</v>
      </c>
      <c r="D45">
        <v>4</v>
      </c>
    </row>
  </sheetData>
  <pageMargins left="0.7" right="0.7" top="0.78740157499999996" bottom="0.78740157499999996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C7"/>
  <sheetViews>
    <sheetView workbookViewId="0">
      <selection activeCell="B2" sqref="B2"/>
    </sheetView>
  </sheetViews>
  <sheetFormatPr baseColWidth="10" defaultRowHeight="15"/>
  <cols>
    <col min="1" max="1" width="19.85546875" customWidth="1"/>
    <col min="2" max="2" width="60.28515625" bestFit="1" customWidth="1"/>
    <col min="3" max="3" width="14.5703125" bestFit="1" customWidth="1"/>
  </cols>
  <sheetData>
    <row r="1" spans="1:3">
      <c r="B1" s="2" t="s">
        <v>31</v>
      </c>
      <c r="C1" s="1" t="s">
        <v>46</v>
      </c>
    </row>
    <row r="2" spans="1:3">
      <c r="B2" s="11" t="s">
        <v>102</v>
      </c>
      <c r="C2" s="12" t="s">
        <v>32</v>
      </c>
    </row>
    <row r="3" spans="1:3">
      <c r="A3" s="13" t="s">
        <v>54</v>
      </c>
      <c r="B3" s="13" t="s">
        <v>96</v>
      </c>
      <c r="C3">
        <v>200</v>
      </c>
    </row>
    <row r="4" spans="1:3">
      <c r="A4" s="13" t="s">
        <v>54</v>
      </c>
      <c r="B4" s="13" t="s">
        <v>97</v>
      </c>
      <c r="C4">
        <v>220</v>
      </c>
    </row>
    <row r="5" spans="1:3">
      <c r="A5" s="13" t="s">
        <v>54</v>
      </c>
      <c r="B5" s="13" t="s">
        <v>98</v>
      </c>
      <c r="C5" t="s">
        <v>73</v>
      </c>
    </row>
    <row r="6" spans="1:3">
      <c r="A6" s="13" t="s">
        <v>54</v>
      </c>
      <c r="B6" s="13" t="s">
        <v>99</v>
      </c>
      <c r="C6" t="s">
        <v>74</v>
      </c>
    </row>
    <row r="7" spans="1:3">
      <c r="A7" s="13" t="s">
        <v>54</v>
      </c>
      <c r="B7" s="13" t="s">
        <v>100</v>
      </c>
      <c r="C7" t="s">
        <v>73</v>
      </c>
    </row>
  </sheetData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M9"/>
  <sheetViews>
    <sheetView workbookViewId="0">
      <selection activeCell="R33" sqref="R33"/>
    </sheetView>
  </sheetViews>
  <sheetFormatPr baseColWidth="10" defaultRowHeight="15"/>
  <cols>
    <col min="1" max="1" width="23.28515625" bestFit="1" customWidth="1"/>
    <col min="2" max="2" width="95.28515625" bestFit="1" customWidth="1"/>
    <col min="3" max="3" width="14.5703125" bestFit="1" customWidth="1"/>
    <col min="4" max="4" width="4.7109375" customWidth="1"/>
    <col min="5" max="5" width="4.140625" customWidth="1"/>
    <col min="6" max="6" width="4.42578125" customWidth="1"/>
    <col min="7" max="7" width="3.85546875" customWidth="1"/>
    <col min="8" max="8" width="3.5703125" customWidth="1"/>
    <col min="11" max="11" width="4.7109375" customWidth="1"/>
    <col min="12" max="12" width="4.85546875" customWidth="1"/>
    <col min="13" max="13" width="5" customWidth="1"/>
  </cols>
  <sheetData>
    <row r="1" spans="1:13">
      <c r="B1" s="2" t="s">
        <v>31</v>
      </c>
      <c r="C1" s="1" t="s">
        <v>46</v>
      </c>
      <c r="D1" s="5"/>
      <c r="H1" s="20"/>
      <c r="I1" s="20"/>
      <c r="J1" s="21"/>
      <c r="K1" s="22"/>
      <c r="L1" s="23">
        <v>1</v>
      </c>
      <c r="M1" s="22"/>
    </row>
    <row r="2" spans="1:13">
      <c r="B2" s="11" t="s">
        <v>102</v>
      </c>
      <c r="C2" s="12" t="s">
        <v>32</v>
      </c>
      <c r="H2" s="20"/>
      <c r="I2" s="20"/>
      <c r="J2" s="13"/>
      <c r="K2" s="22"/>
      <c r="L2" s="23">
        <v>2</v>
      </c>
      <c r="M2" s="22"/>
    </row>
    <row r="3" spans="1:13" ht="47.25" customHeight="1">
      <c r="A3" s="13" t="s">
        <v>62</v>
      </c>
      <c r="B3" s="38" t="s">
        <v>103</v>
      </c>
      <c r="C3" s="14" t="s">
        <v>67</v>
      </c>
      <c r="D3" s="14"/>
      <c r="E3" s="13"/>
      <c r="F3" s="13"/>
      <c r="G3" s="13"/>
      <c r="H3" s="13"/>
      <c r="I3" s="13"/>
      <c r="J3" s="39" t="s">
        <v>55</v>
      </c>
      <c r="K3" s="22"/>
      <c r="L3" s="23">
        <v>3</v>
      </c>
      <c r="M3" s="22"/>
    </row>
    <row r="4" spans="1:13" ht="48" customHeight="1">
      <c r="A4" s="13" t="s">
        <v>63</v>
      </c>
      <c r="B4" s="38" t="s">
        <v>104</v>
      </c>
      <c r="C4" s="14" t="s">
        <v>68</v>
      </c>
      <c r="D4" s="14"/>
      <c r="E4" s="13"/>
      <c r="F4" s="13"/>
      <c r="G4" s="13"/>
      <c r="H4" s="13"/>
      <c r="I4" s="13"/>
      <c r="J4" s="40" t="s">
        <v>56</v>
      </c>
      <c r="K4" s="24">
        <v>4</v>
      </c>
      <c r="L4" s="24">
        <v>5</v>
      </c>
      <c r="M4" s="24">
        <v>6</v>
      </c>
    </row>
    <row r="5" spans="1:13" ht="46.5" customHeight="1">
      <c r="A5" s="13" t="s">
        <v>64</v>
      </c>
      <c r="B5" s="38" t="s">
        <v>105</v>
      </c>
      <c r="C5" s="14" t="s">
        <v>69</v>
      </c>
      <c r="D5" s="14"/>
      <c r="E5" s="13"/>
      <c r="F5" s="13"/>
      <c r="G5" s="13"/>
      <c r="H5" s="13"/>
      <c r="I5" s="13"/>
      <c r="J5" s="21"/>
      <c r="K5" s="25">
        <v>10</v>
      </c>
      <c r="L5" s="25">
        <v>11</v>
      </c>
      <c r="M5" s="25">
        <v>12</v>
      </c>
    </row>
    <row r="6" spans="1:13" ht="71.25" customHeight="1">
      <c r="A6" s="13" t="s">
        <v>65</v>
      </c>
      <c r="B6" s="38" t="s">
        <v>106</v>
      </c>
      <c r="C6" s="14">
        <v>28</v>
      </c>
      <c r="D6" s="14">
        <v>40</v>
      </c>
      <c r="E6" s="14">
        <v>54</v>
      </c>
      <c r="F6" s="14"/>
      <c r="G6" s="13"/>
      <c r="H6" s="13"/>
      <c r="I6" s="13"/>
      <c r="J6" s="41" t="s">
        <v>108</v>
      </c>
      <c r="K6" s="25">
        <v>13</v>
      </c>
      <c r="L6" s="25">
        <v>14</v>
      </c>
      <c r="M6" s="25">
        <v>15</v>
      </c>
    </row>
    <row r="7" spans="1:13" ht="72.75">
      <c r="A7" s="13" t="s">
        <v>66</v>
      </c>
      <c r="B7" s="37" t="s">
        <v>107</v>
      </c>
      <c r="C7" s="14">
        <v>7</v>
      </c>
      <c r="D7" s="14">
        <v>8</v>
      </c>
      <c r="E7" s="14">
        <v>9</v>
      </c>
      <c r="F7" s="14" t="s">
        <v>10</v>
      </c>
      <c r="G7" s="14" t="s">
        <v>11</v>
      </c>
      <c r="H7" s="14" t="s">
        <v>12</v>
      </c>
      <c r="I7" s="14"/>
      <c r="J7" s="13"/>
      <c r="K7" s="25">
        <v>16</v>
      </c>
      <c r="L7" s="25">
        <v>17</v>
      </c>
      <c r="M7" s="25">
        <v>18</v>
      </c>
    </row>
    <row r="8" spans="1:13">
      <c r="A8" s="13"/>
      <c r="B8" s="13"/>
      <c r="C8" s="13"/>
      <c r="D8" s="13"/>
      <c r="E8" s="13"/>
      <c r="F8" s="13"/>
      <c r="G8" s="13"/>
      <c r="H8" s="26"/>
      <c r="I8" s="26"/>
      <c r="J8" s="13" t="s">
        <v>57</v>
      </c>
      <c r="K8" s="27">
        <v>7</v>
      </c>
      <c r="L8" s="27">
        <v>8</v>
      </c>
      <c r="M8" s="27">
        <v>9</v>
      </c>
    </row>
    <row r="9" spans="1:13">
      <c r="B9" s="13"/>
      <c r="C9" s="13"/>
      <c r="D9" s="13"/>
      <c r="E9" s="13"/>
      <c r="F9" s="13"/>
      <c r="G9" s="13"/>
      <c r="H9" s="26"/>
      <c r="I9" s="26"/>
      <c r="J9" s="13" t="s">
        <v>58</v>
      </c>
      <c r="K9" s="28" t="s">
        <v>10</v>
      </c>
      <c r="L9" s="28" t="s">
        <v>11</v>
      </c>
      <c r="M9" s="28" t="s">
        <v>12</v>
      </c>
    </row>
  </sheetData>
  <pageMargins left="0.7" right="0.7" top="0.78740157499999996" bottom="0.78740157499999996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G9"/>
  <sheetViews>
    <sheetView workbookViewId="0">
      <selection activeCell="B10" sqref="B10"/>
    </sheetView>
  </sheetViews>
  <sheetFormatPr baseColWidth="10" defaultRowHeight="15"/>
  <cols>
    <col min="1" max="1" width="18.42578125" customWidth="1"/>
    <col min="2" max="2" width="99.5703125" customWidth="1"/>
    <col min="3" max="3" width="14.5703125" bestFit="1" customWidth="1"/>
  </cols>
  <sheetData>
    <row r="1" spans="1:7">
      <c r="B1" s="2" t="s">
        <v>31</v>
      </c>
      <c r="C1" s="1" t="s">
        <v>46</v>
      </c>
    </row>
    <row r="2" spans="1:7">
      <c r="B2" s="11" t="s">
        <v>102</v>
      </c>
      <c r="C2" s="12" t="s">
        <v>32</v>
      </c>
    </row>
    <row r="3" spans="1:7" ht="71.25" customHeight="1">
      <c r="A3" s="13" t="s">
        <v>59</v>
      </c>
      <c r="B3" s="38" t="s">
        <v>109</v>
      </c>
      <c r="C3" s="31" t="s">
        <v>19</v>
      </c>
      <c r="D3" t="s">
        <v>20</v>
      </c>
      <c r="E3" t="s">
        <v>21</v>
      </c>
      <c r="F3" t="s">
        <v>22</v>
      </c>
      <c r="G3" t="s">
        <v>23</v>
      </c>
    </row>
    <row r="4" spans="1:7">
      <c r="A4" s="13"/>
      <c r="B4" s="13"/>
      <c r="C4" s="14" t="s">
        <v>24</v>
      </c>
      <c r="D4" t="s">
        <v>60</v>
      </c>
      <c r="E4">
        <v>559.65</v>
      </c>
      <c r="F4">
        <v>-2.4700000000000002</v>
      </c>
      <c r="G4">
        <v>380.31</v>
      </c>
    </row>
    <row r="5" spans="1:7">
      <c r="A5" s="13"/>
      <c r="B5" s="13"/>
      <c r="C5" s="14" t="s">
        <v>25</v>
      </c>
      <c r="D5" t="s">
        <v>26</v>
      </c>
      <c r="E5">
        <v>35.979999999999997</v>
      </c>
      <c r="F5">
        <v>-0.06</v>
      </c>
      <c r="G5">
        <v>36.229999999999997</v>
      </c>
    </row>
    <row r="6" spans="1:7">
      <c r="A6" s="13"/>
      <c r="B6" s="13"/>
      <c r="C6" s="14" t="s">
        <v>27</v>
      </c>
      <c r="D6" t="s">
        <v>28</v>
      </c>
      <c r="E6">
        <v>41.01</v>
      </c>
      <c r="F6">
        <v>-0.26</v>
      </c>
      <c r="G6">
        <v>338.68</v>
      </c>
    </row>
    <row r="7" spans="1:7">
      <c r="A7" s="13"/>
      <c r="B7" s="13"/>
      <c r="C7" s="14" t="s">
        <v>29</v>
      </c>
      <c r="D7" t="s">
        <v>30</v>
      </c>
      <c r="E7">
        <v>94.34</v>
      </c>
      <c r="F7">
        <v>0.64</v>
      </c>
      <c r="G7">
        <v>568.83000000000004</v>
      </c>
    </row>
    <row r="8" spans="1:7">
      <c r="C8" s="29"/>
    </row>
    <row r="9" spans="1:7">
      <c r="A9" s="13" t="s">
        <v>59</v>
      </c>
      <c r="B9" s="13" t="s">
        <v>110</v>
      </c>
      <c r="C9" s="14" t="s">
        <v>70</v>
      </c>
    </row>
  </sheetData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"/>
  <dimension ref="A1:G9"/>
  <sheetViews>
    <sheetView workbookViewId="0">
      <selection activeCell="B10" sqref="B10"/>
    </sheetView>
  </sheetViews>
  <sheetFormatPr baseColWidth="10" defaultRowHeight="15"/>
  <cols>
    <col min="1" max="1" width="19.42578125" customWidth="1"/>
    <col min="2" max="2" width="119" bestFit="1" customWidth="1"/>
    <col min="3" max="3" width="14.5703125" bestFit="1" customWidth="1"/>
  </cols>
  <sheetData>
    <row r="1" spans="1:7">
      <c r="A1" s="32"/>
      <c r="B1" s="33" t="s">
        <v>31</v>
      </c>
      <c r="C1" s="34" t="s">
        <v>46</v>
      </c>
    </row>
    <row r="2" spans="1:7">
      <c r="A2" s="32"/>
      <c r="B2" s="11" t="s">
        <v>102</v>
      </c>
      <c r="C2" s="35" t="s">
        <v>32</v>
      </c>
    </row>
    <row r="3" spans="1:7" ht="96.75">
      <c r="A3" s="20" t="s">
        <v>61</v>
      </c>
      <c r="B3" s="42" t="s">
        <v>111</v>
      </c>
      <c r="C3" s="36" t="s">
        <v>19</v>
      </c>
      <c r="D3" t="s">
        <v>20</v>
      </c>
      <c r="E3" t="s">
        <v>21</v>
      </c>
      <c r="F3" t="s">
        <v>22</v>
      </c>
      <c r="G3" t="s">
        <v>23</v>
      </c>
    </row>
    <row r="4" spans="1:7">
      <c r="A4" s="20"/>
      <c r="B4" s="20"/>
      <c r="C4" s="20" t="s">
        <v>24</v>
      </c>
      <c r="D4" t="s">
        <v>60</v>
      </c>
      <c r="E4">
        <v>559.65</v>
      </c>
      <c r="F4">
        <v>-2.4700000000000002</v>
      </c>
      <c r="G4">
        <v>380.31</v>
      </c>
    </row>
    <row r="5" spans="1:7">
      <c r="A5" s="20"/>
      <c r="B5" s="20"/>
      <c r="C5" s="20" t="s">
        <v>25</v>
      </c>
      <c r="D5" t="s">
        <v>26</v>
      </c>
      <c r="E5">
        <v>35.979999999999997</v>
      </c>
      <c r="F5">
        <v>-0.06</v>
      </c>
      <c r="G5">
        <v>36.229999999999997</v>
      </c>
    </row>
    <row r="6" spans="1:7">
      <c r="A6" s="20"/>
      <c r="B6" s="20"/>
      <c r="C6" s="20" t="s">
        <v>27</v>
      </c>
      <c r="D6" t="s">
        <v>28</v>
      </c>
      <c r="E6">
        <v>41.01</v>
      </c>
      <c r="F6">
        <v>-0.26</v>
      </c>
      <c r="G6">
        <v>338.68</v>
      </c>
    </row>
    <row r="7" spans="1:7">
      <c r="A7" s="20"/>
      <c r="B7" s="20"/>
      <c r="C7" s="20" t="s">
        <v>29</v>
      </c>
      <c r="D7" t="s">
        <v>30</v>
      </c>
      <c r="E7">
        <v>94.34</v>
      </c>
      <c r="F7">
        <v>0.64</v>
      </c>
      <c r="G7">
        <v>568.83000000000004</v>
      </c>
    </row>
    <row r="8" spans="1:7">
      <c r="A8" s="20"/>
      <c r="B8" s="20"/>
      <c r="C8" s="20"/>
    </row>
    <row r="9" spans="1:7">
      <c r="A9" s="20" t="s">
        <v>61</v>
      </c>
      <c r="B9" s="26" t="s">
        <v>112</v>
      </c>
      <c r="C9" s="20" t="s">
        <v>71</v>
      </c>
    </row>
  </sheetData>
  <pageMargins left="0.7" right="0.7" top="0.78740157499999996" bottom="0.78740157499999996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"/>
  <dimension ref="A1:E5"/>
  <sheetViews>
    <sheetView workbookViewId="0">
      <selection activeCell="G21" sqref="G21"/>
    </sheetView>
  </sheetViews>
  <sheetFormatPr baseColWidth="10" defaultRowHeight="15"/>
  <cols>
    <col min="2" max="2" width="20.5703125" bestFit="1" customWidth="1"/>
  </cols>
  <sheetData>
    <row r="1" spans="1:5">
      <c r="A1" s="30" t="s">
        <v>19</v>
      </c>
      <c r="B1" s="30" t="s">
        <v>20</v>
      </c>
      <c r="C1" s="30" t="s">
        <v>21</v>
      </c>
      <c r="D1" s="30" t="s">
        <v>22</v>
      </c>
      <c r="E1" s="30" t="s">
        <v>23</v>
      </c>
    </row>
    <row r="2" spans="1:5">
      <c r="A2" t="s">
        <v>24</v>
      </c>
      <c r="B2" t="s">
        <v>60</v>
      </c>
      <c r="C2">
        <v>559.65</v>
      </c>
      <c r="D2" s="29">
        <v>-2.4700000000000002</v>
      </c>
      <c r="E2">
        <v>380.31</v>
      </c>
    </row>
    <row r="3" spans="1:5">
      <c r="A3" t="s">
        <v>25</v>
      </c>
      <c r="B3" t="s">
        <v>26</v>
      </c>
      <c r="C3">
        <v>35.979999999999997</v>
      </c>
      <c r="D3" s="29">
        <v>-0.06</v>
      </c>
      <c r="E3">
        <v>36.229999999999997</v>
      </c>
    </row>
    <row r="4" spans="1:5">
      <c r="A4" t="s">
        <v>27</v>
      </c>
      <c r="B4" t="s">
        <v>28</v>
      </c>
      <c r="C4">
        <v>41.01</v>
      </c>
      <c r="D4" s="29">
        <v>-0.26</v>
      </c>
      <c r="E4">
        <v>338.68</v>
      </c>
    </row>
    <row r="5" spans="1:5">
      <c r="A5" t="s">
        <v>29</v>
      </c>
      <c r="B5" t="s">
        <v>30</v>
      </c>
      <c r="C5">
        <v>94.34</v>
      </c>
      <c r="D5" s="29">
        <v>0.64</v>
      </c>
      <c r="E5">
        <v>568.83000000000004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8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qOpen qClose</vt:lpstr>
      <vt:lpstr>Definitions</vt:lpstr>
      <vt:lpstr>qQuery</vt:lpstr>
      <vt:lpstr>qAtom</vt:lpstr>
      <vt:lpstr>qList</vt:lpstr>
      <vt:lpstr>qDict</vt:lpstr>
      <vt:lpstr>qTable</vt:lpstr>
      <vt:lpstr>data</vt:lpstr>
      <vt:lpstr>Sheet1</vt:lpstr>
    </vt:vector>
  </TitlesOfParts>
  <Company>DEVnet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 Sytek</dc:creator>
  <cp:lastModifiedBy>T510i</cp:lastModifiedBy>
  <dcterms:created xsi:type="dcterms:W3CDTF">2014-06-23T10:39:03Z</dcterms:created>
  <dcterms:modified xsi:type="dcterms:W3CDTF">2014-07-31T12:23:50Z</dcterms:modified>
</cp:coreProperties>
</file>
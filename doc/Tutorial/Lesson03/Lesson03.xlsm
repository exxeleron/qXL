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ev237\Documents\qXL-tutorial\qXL\doc\Tutorial\Lesson03\"/>
    </mc:Choice>
  </mc:AlternateContent>
  <bookViews>
    <workbookView xWindow="0" yWindow="0" windowWidth="23940" windowHeight="9630" activeTab="1"/>
  </bookViews>
  <sheets>
    <sheet name="kdb+ connection" sheetId="8" r:id="rId1"/>
    <sheet name="VBA" sheetId="3" r:id="rId2"/>
    <sheet name="OHLC" sheetId="5" r:id="rId3"/>
    <sheet name="log" sheetId="7" r:id="rId4"/>
  </sheets>
  <functionGroups builtInGroupCount="18"/>
  <definedNames>
    <definedName name="nrApAlias" localSheetId="0">'kdb+ connection'!$B$3</definedName>
    <definedName name="nrApConnection" localSheetId="0">'kdb+ connection'!$A$3</definedName>
    <definedName name="nrApHost" localSheetId="0">'kdb+ connection'!$C$3</definedName>
    <definedName name="nrApPassword" localSheetId="0">'kdb+ connection'!$F$3</definedName>
    <definedName name="nrApPort" localSheetId="0">'kdb+ connection'!$D$3</definedName>
    <definedName name="nrApUser" localSheetId="0">'kdb+ connection'!$E$3</definedName>
    <definedName name="nrDate" localSheetId="2">OFFSET(OHLC!$B$5,0,0,1,COUNTA(OHLC!$5:$5)-1)</definedName>
    <definedName name="nrEndTime" localSheetId="2">OHLC!$B$7</definedName>
    <definedName name="nrQuery" localSheetId="1">VBA!$E$1</definedName>
    <definedName name="nrRdbAlias" localSheetId="0">'kdb+ connection'!$B$2</definedName>
    <definedName name="nrRdbConnection" localSheetId="0">'kdb+ connection'!$A$2</definedName>
    <definedName name="nrRdbHost" localSheetId="0">'kdb+ connection'!$C$2</definedName>
    <definedName name="nrRdbPassword" localSheetId="0">'kdb+ connection'!$F$2</definedName>
    <definedName name="nrRdbPort" localSheetId="0">'kdb+ connection'!$D$2</definedName>
    <definedName name="nrRdbUser" localSheetId="0">'kdb+ connection'!$E$2</definedName>
    <definedName name="nrStartTime" localSheetId="2">OHLC!$B$6</definedName>
    <definedName name="nrSymbol" localSheetId="2">OFFSET(OHLC!$B$4,0,0,1,COUNTA(OHLC!$4:$4)-1)</definedName>
    <definedName name="nrTimeInterval" localSheetId="2">OHLC!$B$8</definedName>
    <definedName name="nsSymbol">OHLC!$D$5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5" l="1"/>
  <c r="A3" i="8"/>
  <c r="A2" i="8"/>
  <c r="G3" i="8" l="1"/>
  <c r="G2" i="8"/>
</calcChain>
</file>

<file path=xl/sharedStrings.xml><?xml version="1.0" encoding="utf-8"?>
<sst xmlns="http://schemas.openxmlformats.org/spreadsheetml/2006/main" count="397" uniqueCount="83">
  <si>
    <t>Host</t>
  </si>
  <si>
    <t>Port</t>
  </si>
  <si>
    <t>User</t>
  </si>
  <si>
    <t>Password</t>
  </si>
  <si>
    <t>Connected</t>
  </si>
  <si>
    <t>Alias</t>
  </si>
  <si>
    <t>localhost</t>
  </si>
  <si>
    <t>instr3</t>
  </si>
  <si>
    <t>symbol:</t>
  </si>
  <si>
    <t>date:</t>
  </si>
  <si>
    <t>start time:</t>
  </si>
  <si>
    <t xml:space="preserve">end time: </t>
  </si>
  <si>
    <t xml:space="preserve">time interval: </t>
  </si>
  <si>
    <t>time</t>
  </si>
  <si>
    <t>sym</t>
  </si>
  <si>
    <t>instr4</t>
  </si>
  <si>
    <t>size</t>
  </si>
  <si>
    <t>Query succeeded</t>
  </si>
  <si>
    <t>date</t>
  </si>
  <si>
    <t>open</t>
  </si>
  <si>
    <t>high</t>
  </si>
  <si>
    <t>low</t>
  </si>
  <si>
    <t>close</t>
  </si>
  <si>
    <t>vwap</t>
  </si>
  <si>
    <t>rdbConnection</t>
  </si>
  <si>
    <t>apConnection</t>
  </si>
  <si>
    <t>price</t>
  </si>
  <si>
    <t>instr99</t>
  </si>
  <si>
    <t>instr83</t>
  </si>
  <si>
    <t>instr52</t>
  </si>
  <si>
    <t>instr66</t>
  </si>
  <si>
    <t>instr24</t>
  </si>
  <si>
    <t>instr60</t>
  </si>
  <si>
    <t>instr37</t>
  </si>
  <si>
    <t>instr75</t>
  </si>
  <si>
    <t>instr98</t>
  </si>
  <si>
    <t>instr21</t>
  </si>
  <si>
    <t>instr43</t>
  </si>
  <si>
    <t>instr15</t>
  </si>
  <si>
    <t>instr9</t>
  </si>
  <si>
    <t>instr64</t>
  </si>
  <si>
    <t>instr30</t>
  </si>
  <si>
    <t>instr85</t>
  </si>
  <si>
    <t>instr93</t>
  </si>
  <si>
    <t>instr81</t>
  </si>
  <si>
    <t>instr42</t>
  </si>
  <si>
    <t>instr86</t>
  </si>
  <si>
    <t>instr62</t>
  </si>
  <si>
    <t>instr72</t>
  </si>
  <si>
    <t>instr55</t>
  </si>
  <si>
    <t>instr57</t>
  </si>
  <si>
    <t>instr27</t>
  </si>
  <si>
    <t>instr96</t>
  </si>
  <si>
    <t>instr63</t>
  </si>
  <si>
    <t>instr53</t>
  </si>
  <si>
    <t>instr92</t>
  </si>
  <si>
    <t>instr70</t>
  </si>
  <si>
    <t>instr20</t>
  </si>
  <si>
    <t>instr47</t>
  </si>
  <si>
    <t>instr89</t>
  </si>
  <si>
    <t>instr7</t>
  </si>
  <si>
    <t>instr69</t>
  </si>
  <si>
    <t>instr16</t>
  </si>
  <si>
    <t>instr26</t>
  </si>
  <si>
    <t>instr59</t>
  </si>
  <si>
    <t>instr50</t>
  </si>
  <si>
    <t>instr10</t>
  </si>
  <si>
    <t>instr88</t>
  </si>
  <si>
    <t>instr38</t>
  </si>
  <si>
    <t>instr87</t>
  </si>
  <si>
    <t>instr41</t>
  </si>
  <si>
    <t>instr65</t>
  </si>
  <si>
    <t>instr29</t>
  </si>
  <si>
    <t>instr6</t>
  </si>
  <si>
    <t>instr84</t>
  </si>
  <si>
    <t>instr58</t>
  </si>
  <si>
    <t>instr12</t>
  </si>
  <si>
    <t>instr40</t>
  </si>
  <si>
    <t>instr33</t>
  </si>
  <si>
    <t>instr1</t>
  </si>
  <si>
    <t>20/11/2014 3:25:06 PM OHLC</t>
  </si>
  <si>
    <t>100#select from trade</t>
  </si>
  <si>
    <t>20/11/2014 3:25:32 PM 100#select from trade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</si>
</sst>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3F3F7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9">
    <xf numFmtId="0" fontId="0" fillId="0" borderId="0" xfId="0"/>
    <xf numFmtId="0" fontId="0" fillId="0" borderId="0" xfId="0" applyAlignment="1"/>
    <xf numFmtId="0" fontId="2" fillId="2" borderId="1" xfId="1"/>
    <xf numFmtId="14" fontId="2" fillId="2" borderId="1" xfId="1" applyNumberFormat="1"/>
    <xf numFmtId="20" fontId="2" fillId="2" borderId="1" xfId="1" applyNumberFormat="1"/>
    <xf numFmtId="19" fontId="0" fillId="0" borderId="0" xfId="0" applyNumberFormat="1"/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</cellXfs>
  <cellStyles count="2">
    <cellStyle name="Input" xfId="1" builtinId="20"/>
    <cellStyle name="Normal" xfId="0" builtinId="0"/>
  </cellStyles>
  <dxfs count="7">
    <dxf>
      <numFmt numFmtId="24" formatCode="h:mm:ss\ AM/PM"/>
    </dxf>
    <dxf>
      <numFmt numFmtId="24" formatCode="h:mm:ss\ AM/PM"/>
    </dxf>
    <dxf>
      <numFmt numFmtId="19" formatCode="d/mm/yyyy"/>
    </dxf>
    <dxf>
      <fill>
        <patternFill>
          <bgColor theme="9"/>
        </patternFill>
      </fill>
    </dxf>
    <dxf>
      <fill>
        <patternFill>
          <bgColor rgb="FFDA3A73"/>
        </patternFill>
      </fill>
    </dxf>
    <dxf>
      <fill>
        <patternFill>
          <bgColor theme="9"/>
        </patternFill>
      </fill>
    </dxf>
    <dxf>
      <fill>
        <patternFill>
          <bgColor rgb="FFDA3A73"/>
        </patternFill>
      </fill>
    </dxf>
  </dxfs>
  <tableStyles count="0" defaultTableStyle="TableStyleMedium2" defaultPivotStyle="PivotStyleLight16"/>
  <colors>
    <mruColors>
      <color rgb="FFDA3A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0</xdr:row>
          <xdr:rowOff>161925</xdr:rowOff>
        </xdr:from>
        <xdr:to>
          <xdr:col>10</xdr:col>
          <xdr:colOff>485775</xdr:colOff>
          <xdr:row>2</xdr:row>
          <xdr:rowOff>9525</xdr:rowOff>
        </xdr:to>
        <xdr:sp macro="" textlink="">
          <xdr:nvSpPr>
            <xdr:cNvPr id="7169" name="btnConnect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Connect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561975</xdr:colOff>
          <xdr:row>1</xdr:row>
          <xdr:rowOff>104775</xdr:rowOff>
        </xdr:from>
        <xdr:to>
          <xdr:col>10</xdr:col>
          <xdr:colOff>285750</xdr:colOff>
          <xdr:row>4</xdr:row>
          <xdr:rowOff>114300</xdr:rowOff>
        </xdr:to>
        <xdr:sp macro="" textlink="">
          <xdr:nvSpPr>
            <xdr:cNvPr id="3073" name="btnGetQuer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Query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152400</xdr:rowOff>
        </xdr:from>
        <xdr:to>
          <xdr:col>5</xdr:col>
          <xdr:colOff>190500</xdr:colOff>
          <xdr:row>2</xdr:row>
          <xdr:rowOff>9525</xdr:rowOff>
        </xdr:to>
        <xdr:sp macro="" textlink="">
          <xdr:nvSpPr>
            <xdr:cNvPr id="5121" name="btnOHLC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OHLC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5" name="tQueryResult" displayName="tQueryResult" ref="C6:F105" totalsRowShown="0">
  <autoFilter ref="C6:F105"/>
  <tableColumns count="4">
    <tableColumn id="1" name="time" dataDxfId="0"/>
    <tableColumn id="2" name="sym"/>
    <tableColumn id="3" name="price"/>
    <tableColumn id="4" name="siz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OHLC" displayName="tOHLC" ref="D8:L271" totalsRowShown="0">
  <autoFilter ref="D8:L271"/>
  <tableColumns count="9">
    <tableColumn id="1" name="date" dataDxfId="2"/>
    <tableColumn id="2" name="sym"/>
    <tableColumn id="3" name="time" dataDxfId="1"/>
    <tableColumn id="4" name="open"/>
    <tableColumn id="5" name="high"/>
    <tableColumn id="6" name="low"/>
    <tableColumn id="7" name="close"/>
    <tableColumn id="8" name="size"/>
    <tableColumn id="9" name="vwap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9"/>
  <sheetViews>
    <sheetView workbookViewId="0"/>
  </sheetViews>
  <sheetFormatPr defaultRowHeight="15" x14ac:dyDescent="0.25"/>
  <cols>
    <col min="1" max="1" width="20.85546875" customWidth="1"/>
    <col min="2" max="2" width="19.140625" bestFit="1" customWidth="1"/>
    <col min="3" max="3" width="9" bestFit="1" customWidth="1"/>
    <col min="4" max="4" width="6" bestFit="1" customWidth="1"/>
    <col min="5" max="5" width="5" bestFit="1" customWidth="1"/>
    <col min="6" max="6" width="9.42578125" bestFit="1" customWidth="1"/>
    <col min="7" max="7" width="10.5703125" bestFit="1" customWidth="1"/>
    <col min="8" max="8" width="11.5703125" bestFit="1" customWidth="1"/>
  </cols>
  <sheetData>
    <row r="1" spans="1:7" x14ac:dyDescent="0.25">
      <c r="A1" s="1"/>
      <c r="B1" t="s">
        <v>5</v>
      </c>
      <c r="C1" t="s">
        <v>0</v>
      </c>
      <c r="D1" t="s">
        <v>1</v>
      </c>
      <c r="E1" t="s">
        <v>2</v>
      </c>
      <c r="F1" t="s">
        <v>3</v>
      </c>
      <c r="G1" t="s">
        <v>4</v>
      </c>
    </row>
    <row r="2" spans="1:7" x14ac:dyDescent="0.25">
      <c r="A2" s="1" t="str">
        <f>_xll.qOpen(nrRdbAlias,nrRdbHost,nrRdbPort,nrRdbUser,nrRdbPassword)</f>
        <v>rdbConnection</v>
      </c>
      <c r="B2" t="s">
        <v>24</v>
      </c>
      <c r="C2" t="s">
        <v>6</v>
      </c>
      <c r="D2">
        <v>17011</v>
      </c>
      <c r="G2" t="b">
        <f>nrRdbAlias=nrRdbConnection</f>
        <v>1</v>
      </c>
    </row>
    <row r="3" spans="1:7" x14ac:dyDescent="0.25">
      <c r="A3" t="str">
        <f>_xll.qOpen(nrApAlias,nrApHost,nrApPort,nrApUser,nrApPassword)</f>
        <v>apConnection</v>
      </c>
      <c r="B3" t="s">
        <v>25</v>
      </c>
      <c r="C3" t="s">
        <v>6</v>
      </c>
      <c r="D3">
        <v>17050</v>
      </c>
      <c r="G3" t="b">
        <f>nrApConnection=nrApAlias</f>
        <v>1</v>
      </c>
    </row>
    <row r="9" spans="1:7" ht="12.75" customHeight="1" x14ac:dyDescent="0.25"/>
  </sheetData>
  <conditionalFormatting sqref="G2">
    <cfRule type="cellIs" dxfId="6" priority="3" operator="equal">
      <formula>FALSE</formula>
    </cfRule>
    <cfRule type="cellIs" dxfId="5" priority="4" operator="equal">
      <formula>TRUE</formula>
    </cfRule>
  </conditionalFormatting>
  <conditionalFormatting sqref="G3">
    <cfRule type="cellIs" dxfId="4" priority="1" operator="equal">
      <formula>FALSE</formula>
    </cfRule>
    <cfRule type="cellIs" dxfId="3" priority="2" operator="equal">
      <formula>TRUE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tnConnect">
              <controlPr defaultSize="0" print="0" autoFill="0" autoPict="0" macro="[0]!connectBtnClick">
                <anchor moveWithCells="1" sizeWithCells="1">
                  <from>
                    <xdr:col>8</xdr:col>
                    <xdr:colOff>104775</xdr:colOff>
                    <xdr:row>0</xdr:row>
                    <xdr:rowOff>161925</xdr:rowOff>
                  </from>
                  <to>
                    <xdr:col>10</xdr:col>
                    <xdr:colOff>485775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105"/>
  <sheetViews>
    <sheetView tabSelected="1" workbookViewId="0">
      <selection activeCell="I13" sqref="I13"/>
    </sheetView>
  </sheetViews>
  <sheetFormatPr defaultRowHeight="15" x14ac:dyDescent="0.25"/>
  <cols>
    <col min="3" max="3" width="11.7109375" bestFit="1" customWidth="1"/>
    <col min="4" max="5" width="11" customWidth="1"/>
    <col min="6" max="6" width="11.5703125" bestFit="1" customWidth="1"/>
    <col min="8" max="8" width="9.5703125" customWidth="1"/>
  </cols>
  <sheetData>
    <row r="1" spans="1:6" x14ac:dyDescent="0.25">
      <c r="A1" s="1" t="s">
        <v>17</v>
      </c>
      <c r="E1" s="2" t="s">
        <v>81</v>
      </c>
    </row>
    <row r="2" spans="1:6" x14ac:dyDescent="0.25">
      <c r="A2" s="1" t="s">
        <v>82</v>
      </c>
    </row>
    <row r="6" spans="1:6" x14ac:dyDescent="0.25">
      <c r="C6" t="s">
        <v>13</v>
      </c>
      <c r="D6" t="s">
        <v>14</v>
      </c>
      <c r="E6" t="s">
        <v>26</v>
      </c>
      <c r="F6" t="s">
        <v>16</v>
      </c>
    </row>
    <row r="7" spans="1:6" x14ac:dyDescent="0.25">
      <c r="C7" s="5">
        <v>0.29436342592592596</v>
      </c>
      <c r="D7" t="s">
        <v>66</v>
      </c>
      <c r="E7">
        <v>44.205987663008273</v>
      </c>
      <c r="F7">
        <v>18</v>
      </c>
    </row>
    <row r="8" spans="1:6" x14ac:dyDescent="0.25">
      <c r="C8" s="5">
        <v>0.29436342592592596</v>
      </c>
      <c r="D8" t="s">
        <v>53</v>
      </c>
      <c r="E8">
        <v>12.80761060770601</v>
      </c>
      <c r="F8">
        <v>16</v>
      </c>
    </row>
    <row r="9" spans="1:6" x14ac:dyDescent="0.25">
      <c r="C9" s="5">
        <v>0.29436342592592596</v>
      </c>
      <c r="D9" t="s">
        <v>40</v>
      </c>
      <c r="E9">
        <v>75.890520052053034</v>
      </c>
      <c r="F9">
        <v>86</v>
      </c>
    </row>
    <row r="10" spans="1:6" x14ac:dyDescent="0.25">
      <c r="C10" s="5">
        <v>0.29436342592592596</v>
      </c>
      <c r="D10" t="s">
        <v>68</v>
      </c>
      <c r="E10">
        <v>69.380412669852376</v>
      </c>
      <c r="F10">
        <v>99</v>
      </c>
    </row>
    <row r="11" spans="1:6" x14ac:dyDescent="0.25">
      <c r="C11" s="5">
        <v>0.29436342592592596</v>
      </c>
      <c r="D11" t="s">
        <v>50</v>
      </c>
      <c r="E11">
        <v>58.979216823354363</v>
      </c>
      <c r="F11">
        <v>76</v>
      </c>
    </row>
    <row r="12" spans="1:6" x14ac:dyDescent="0.25">
      <c r="C12" s="5">
        <v>0.29436342592592596</v>
      </c>
      <c r="D12" t="s">
        <v>30</v>
      </c>
      <c r="E12">
        <v>6.8568615708500147</v>
      </c>
      <c r="F12">
        <v>22</v>
      </c>
    </row>
    <row r="13" spans="1:6" x14ac:dyDescent="0.25">
      <c r="C13" s="5">
        <v>0.29436342592592596</v>
      </c>
      <c r="D13" t="s">
        <v>28</v>
      </c>
      <c r="E13">
        <v>84.377370378933847</v>
      </c>
      <c r="F13">
        <v>30</v>
      </c>
    </row>
    <row r="14" spans="1:6" x14ac:dyDescent="0.25">
      <c r="C14" s="5">
        <v>0.29436342592592596</v>
      </c>
      <c r="D14" t="s">
        <v>30</v>
      </c>
      <c r="E14">
        <v>19.652287987992167</v>
      </c>
      <c r="F14">
        <v>84</v>
      </c>
    </row>
    <row r="15" spans="1:6" x14ac:dyDescent="0.25">
      <c r="C15" s="5">
        <v>0.29436342592592596</v>
      </c>
      <c r="D15" t="s">
        <v>68</v>
      </c>
      <c r="E15">
        <v>54.785700375214219</v>
      </c>
      <c r="F15">
        <v>96</v>
      </c>
    </row>
    <row r="16" spans="1:6" x14ac:dyDescent="0.25">
      <c r="C16" s="5">
        <v>0.29436342592592596</v>
      </c>
      <c r="D16" t="s">
        <v>52</v>
      </c>
      <c r="E16">
        <v>63.528215093538165</v>
      </c>
      <c r="F16">
        <v>9</v>
      </c>
    </row>
    <row r="17" spans="3:6" x14ac:dyDescent="0.25">
      <c r="C17" s="5">
        <v>0.29436342592592596</v>
      </c>
      <c r="D17" t="s">
        <v>27</v>
      </c>
      <c r="E17">
        <v>76.039453246630728</v>
      </c>
      <c r="F17">
        <v>54</v>
      </c>
    </row>
    <row r="18" spans="3:6" x14ac:dyDescent="0.25">
      <c r="C18" s="5">
        <v>0.29436342592592596</v>
      </c>
      <c r="D18" t="s">
        <v>33</v>
      </c>
      <c r="E18">
        <v>15.705314092338085</v>
      </c>
      <c r="F18">
        <v>68</v>
      </c>
    </row>
    <row r="19" spans="3:6" x14ac:dyDescent="0.25">
      <c r="C19" s="5">
        <v>0.29436342592592596</v>
      </c>
      <c r="D19" t="s">
        <v>78</v>
      </c>
      <c r="E19">
        <v>16.851262398995459</v>
      </c>
      <c r="F19">
        <v>18</v>
      </c>
    </row>
    <row r="20" spans="3:6" x14ac:dyDescent="0.25">
      <c r="C20" s="5">
        <v>0.29436342592592596</v>
      </c>
      <c r="D20" t="s">
        <v>53</v>
      </c>
      <c r="E20">
        <v>46.888792118988931</v>
      </c>
      <c r="F20">
        <v>1</v>
      </c>
    </row>
    <row r="21" spans="3:6" x14ac:dyDescent="0.25">
      <c r="C21" s="5">
        <v>0.29436342592592596</v>
      </c>
      <c r="D21" t="s">
        <v>55</v>
      </c>
      <c r="E21">
        <v>39.072620403021574</v>
      </c>
      <c r="F21">
        <v>14</v>
      </c>
    </row>
    <row r="22" spans="3:6" x14ac:dyDescent="0.25">
      <c r="C22" s="5">
        <v>0.29436342592592596</v>
      </c>
      <c r="D22" t="s">
        <v>66</v>
      </c>
      <c r="E22">
        <v>66.473606089130044</v>
      </c>
      <c r="F22">
        <v>19</v>
      </c>
    </row>
    <row r="23" spans="3:6" x14ac:dyDescent="0.25">
      <c r="C23" s="5">
        <v>0.29436342592592596</v>
      </c>
      <c r="D23" t="s">
        <v>33</v>
      </c>
      <c r="E23">
        <v>76.747027621604502</v>
      </c>
      <c r="F23">
        <v>32</v>
      </c>
    </row>
    <row r="24" spans="3:6" x14ac:dyDescent="0.25">
      <c r="C24" s="5">
        <v>0.29436342592592596</v>
      </c>
      <c r="D24" t="s">
        <v>77</v>
      </c>
      <c r="E24">
        <v>45.786189008504152</v>
      </c>
      <c r="F24">
        <v>6</v>
      </c>
    </row>
    <row r="25" spans="3:6" x14ac:dyDescent="0.25">
      <c r="C25" s="5">
        <v>0.29436342592592596</v>
      </c>
      <c r="D25" t="s">
        <v>41</v>
      </c>
      <c r="E25">
        <v>88.272355683147907</v>
      </c>
      <c r="F25">
        <v>9</v>
      </c>
    </row>
    <row r="26" spans="3:6" x14ac:dyDescent="0.25">
      <c r="C26" s="5">
        <v>0.29436342592592596</v>
      </c>
      <c r="D26" t="s">
        <v>71</v>
      </c>
      <c r="E26">
        <v>56.897718994878232</v>
      </c>
      <c r="F26">
        <v>36</v>
      </c>
    </row>
    <row r="27" spans="3:6" x14ac:dyDescent="0.25">
      <c r="C27" s="5">
        <v>0.29440972222222223</v>
      </c>
      <c r="D27" t="s">
        <v>71</v>
      </c>
      <c r="E27">
        <v>64.002624596469104</v>
      </c>
      <c r="F27">
        <v>10</v>
      </c>
    </row>
    <row r="28" spans="3:6" x14ac:dyDescent="0.25">
      <c r="C28" s="5">
        <v>0.29440972222222223</v>
      </c>
      <c r="D28" t="s">
        <v>49</v>
      </c>
      <c r="E28">
        <v>97.883924026973546</v>
      </c>
      <c r="F28">
        <v>49</v>
      </c>
    </row>
    <row r="29" spans="3:6" x14ac:dyDescent="0.25">
      <c r="C29" s="5">
        <v>0.29440972222222223</v>
      </c>
      <c r="D29" t="s">
        <v>49</v>
      </c>
      <c r="E29">
        <v>95.131400250829756</v>
      </c>
      <c r="F29">
        <v>54</v>
      </c>
    </row>
    <row r="30" spans="3:6" x14ac:dyDescent="0.25">
      <c r="C30" s="5">
        <v>0.29440972222222223</v>
      </c>
      <c r="D30" t="s">
        <v>68</v>
      </c>
      <c r="E30">
        <v>50.212842039763927</v>
      </c>
      <c r="F30">
        <v>15</v>
      </c>
    </row>
    <row r="31" spans="3:6" x14ac:dyDescent="0.25">
      <c r="C31" s="5">
        <v>0.29440972222222223</v>
      </c>
      <c r="D31" t="s">
        <v>31</v>
      </c>
      <c r="E31">
        <v>44.685289915651083</v>
      </c>
      <c r="F31">
        <v>25</v>
      </c>
    </row>
    <row r="32" spans="3:6" x14ac:dyDescent="0.25">
      <c r="C32" s="5">
        <v>0.29440972222222223</v>
      </c>
      <c r="D32" t="s">
        <v>47</v>
      </c>
      <c r="E32">
        <v>45.12926978059113</v>
      </c>
      <c r="F32">
        <v>96</v>
      </c>
    </row>
    <row r="33" spans="3:6" x14ac:dyDescent="0.25">
      <c r="C33" s="5">
        <v>0.29440972222222223</v>
      </c>
      <c r="D33" t="s">
        <v>15</v>
      </c>
      <c r="E33">
        <v>57.38318283110857</v>
      </c>
      <c r="F33">
        <v>92</v>
      </c>
    </row>
    <row r="34" spans="3:6" x14ac:dyDescent="0.25">
      <c r="C34" s="5">
        <v>0.29440972222222223</v>
      </c>
      <c r="D34" t="s">
        <v>48</v>
      </c>
      <c r="E34">
        <v>88.088769093155861</v>
      </c>
      <c r="F34">
        <v>23</v>
      </c>
    </row>
    <row r="35" spans="3:6" x14ac:dyDescent="0.25">
      <c r="C35" s="5">
        <v>0.29440972222222223</v>
      </c>
      <c r="D35" t="s">
        <v>38</v>
      </c>
      <c r="E35">
        <v>37.802137061953545</v>
      </c>
      <c r="F35">
        <v>69</v>
      </c>
    </row>
    <row r="36" spans="3:6" x14ac:dyDescent="0.25">
      <c r="C36" s="5">
        <v>0.29440972222222223</v>
      </c>
      <c r="D36" t="s">
        <v>60</v>
      </c>
      <c r="E36">
        <v>56.413335609249771</v>
      </c>
      <c r="F36">
        <v>46</v>
      </c>
    </row>
    <row r="37" spans="3:6" x14ac:dyDescent="0.25">
      <c r="C37" s="5">
        <v>0.29446759259259259</v>
      </c>
      <c r="D37" t="s">
        <v>72</v>
      </c>
      <c r="E37">
        <v>12.657580291852355</v>
      </c>
      <c r="F37">
        <v>2</v>
      </c>
    </row>
    <row r="38" spans="3:6" x14ac:dyDescent="0.25">
      <c r="C38" s="5">
        <v>0.29446759259259259</v>
      </c>
      <c r="D38" t="s">
        <v>29</v>
      </c>
      <c r="E38">
        <v>24.862525216303766</v>
      </c>
      <c r="F38">
        <v>15</v>
      </c>
    </row>
    <row r="39" spans="3:6" x14ac:dyDescent="0.25">
      <c r="C39" s="5">
        <v>0.29446759259259259</v>
      </c>
      <c r="D39" t="s">
        <v>63</v>
      </c>
      <c r="E39">
        <v>98.810635786503553</v>
      </c>
      <c r="F39">
        <v>69</v>
      </c>
    </row>
    <row r="40" spans="3:6" x14ac:dyDescent="0.25">
      <c r="C40" s="5">
        <v>0.29446759259259259</v>
      </c>
      <c r="D40" t="s">
        <v>70</v>
      </c>
      <c r="E40">
        <v>14.053483889438212</v>
      </c>
      <c r="F40">
        <v>55</v>
      </c>
    </row>
    <row r="41" spans="3:6" x14ac:dyDescent="0.25">
      <c r="C41" s="5">
        <v>0.29446759259259259</v>
      </c>
      <c r="D41" t="s">
        <v>41</v>
      </c>
      <c r="E41">
        <v>93.841216922737658</v>
      </c>
      <c r="F41">
        <v>93</v>
      </c>
    </row>
    <row r="42" spans="3:6" x14ac:dyDescent="0.25">
      <c r="C42" s="5">
        <v>0.29446759259259259</v>
      </c>
      <c r="D42" t="s">
        <v>57</v>
      </c>
      <c r="E42">
        <v>79.880721704103053</v>
      </c>
      <c r="F42">
        <v>38</v>
      </c>
    </row>
    <row r="43" spans="3:6" x14ac:dyDescent="0.25">
      <c r="C43" s="5">
        <v>0.29446759259259259</v>
      </c>
      <c r="D43" t="s">
        <v>74</v>
      </c>
      <c r="E43">
        <v>27.809421112760901</v>
      </c>
      <c r="F43">
        <v>63</v>
      </c>
    </row>
    <row r="44" spans="3:6" x14ac:dyDescent="0.25">
      <c r="C44" s="5">
        <v>0.29446759259259259</v>
      </c>
      <c r="D44" t="s">
        <v>65</v>
      </c>
      <c r="E44">
        <v>21.270967461168766</v>
      </c>
      <c r="F44">
        <v>56</v>
      </c>
    </row>
    <row r="45" spans="3:6" x14ac:dyDescent="0.25">
      <c r="C45" s="5">
        <v>0.29446759259259259</v>
      </c>
      <c r="D45" t="s">
        <v>56</v>
      </c>
      <c r="E45">
        <v>74.11695308983326</v>
      </c>
      <c r="F45">
        <v>83</v>
      </c>
    </row>
    <row r="46" spans="3:6" x14ac:dyDescent="0.25">
      <c r="C46" s="5">
        <v>0.29446759259259259</v>
      </c>
      <c r="D46" t="s">
        <v>62</v>
      </c>
      <c r="E46">
        <v>25.483434973284602</v>
      </c>
      <c r="F46">
        <v>84</v>
      </c>
    </row>
    <row r="47" spans="3:6" x14ac:dyDescent="0.25">
      <c r="C47" s="5">
        <v>0.29452546296296295</v>
      </c>
      <c r="D47" t="s">
        <v>76</v>
      </c>
      <c r="E47">
        <v>79.355029459111392</v>
      </c>
      <c r="F47">
        <v>50</v>
      </c>
    </row>
    <row r="48" spans="3:6" x14ac:dyDescent="0.25">
      <c r="C48" s="5">
        <v>0.29452546296296295</v>
      </c>
      <c r="D48" t="s">
        <v>69</v>
      </c>
      <c r="E48">
        <v>96.632610028609633</v>
      </c>
      <c r="F48">
        <v>38</v>
      </c>
    </row>
    <row r="49" spans="3:6" x14ac:dyDescent="0.25">
      <c r="C49" s="5">
        <v>0.29452546296296295</v>
      </c>
      <c r="D49" t="s">
        <v>7</v>
      </c>
      <c r="E49">
        <v>47.414521919563413</v>
      </c>
      <c r="F49">
        <v>50</v>
      </c>
    </row>
    <row r="50" spans="3:6" x14ac:dyDescent="0.25">
      <c r="C50" s="5">
        <v>0.29452546296296295</v>
      </c>
      <c r="D50" t="s">
        <v>78</v>
      </c>
      <c r="E50">
        <v>89.193075778894126</v>
      </c>
      <c r="F50">
        <v>43</v>
      </c>
    </row>
    <row r="51" spans="3:6" x14ac:dyDescent="0.25">
      <c r="C51" s="5">
        <v>0.29452546296296295</v>
      </c>
      <c r="D51" t="s">
        <v>54</v>
      </c>
      <c r="E51">
        <v>73.177679139189422</v>
      </c>
      <c r="F51">
        <v>54</v>
      </c>
    </row>
    <row r="52" spans="3:6" x14ac:dyDescent="0.25">
      <c r="C52" s="5">
        <v>0.29452546296296295</v>
      </c>
      <c r="D52" t="s">
        <v>49</v>
      </c>
      <c r="E52">
        <v>15.104018477723002</v>
      </c>
      <c r="F52">
        <v>0</v>
      </c>
    </row>
    <row r="53" spans="3:6" x14ac:dyDescent="0.25">
      <c r="C53" s="5">
        <v>0.29452546296296295</v>
      </c>
      <c r="D53" t="s">
        <v>49</v>
      </c>
      <c r="E53">
        <v>89.61042920127511</v>
      </c>
      <c r="F53">
        <v>64</v>
      </c>
    </row>
    <row r="54" spans="3:6" x14ac:dyDescent="0.25">
      <c r="C54" s="5">
        <v>0.29452546296296295</v>
      </c>
      <c r="D54" t="s">
        <v>64</v>
      </c>
      <c r="E54">
        <v>11.349518876522779</v>
      </c>
      <c r="F54">
        <v>49</v>
      </c>
    </row>
    <row r="55" spans="3:6" x14ac:dyDescent="0.25">
      <c r="C55" s="5">
        <v>0.29452546296296295</v>
      </c>
      <c r="D55" t="s">
        <v>32</v>
      </c>
      <c r="E55">
        <v>29.746187571436167</v>
      </c>
      <c r="F55">
        <v>27</v>
      </c>
    </row>
    <row r="56" spans="3:6" x14ac:dyDescent="0.25">
      <c r="C56" s="5">
        <v>0.29452546296296295</v>
      </c>
      <c r="D56" t="s">
        <v>78</v>
      </c>
      <c r="E56">
        <v>67.179517168551683</v>
      </c>
      <c r="F56">
        <v>13</v>
      </c>
    </row>
    <row r="57" spans="3:6" x14ac:dyDescent="0.25">
      <c r="C57" s="5">
        <v>0.29458333333333336</v>
      </c>
      <c r="D57" t="s">
        <v>79</v>
      </c>
      <c r="E57">
        <v>54.190696054138243</v>
      </c>
      <c r="F57">
        <v>90</v>
      </c>
    </row>
    <row r="58" spans="3:6" x14ac:dyDescent="0.25">
      <c r="C58" s="5">
        <v>0.29458333333333336</v>
      </c>
      <c r="D58" t="s">
        <v>73</v>
      </c>
      <c r="E58">
        <v>86.026436369866133</v>
      </c>
      <c r="F58">
        <v>6</v>
      </c>
    </row>
    <row r="59" spans="3:6" x14ac:dyDescent="0.25">
      <c r="C59" s="5">
        <v>0.29458333333333336</v>
      </c>
      <c r="D59" t="s">
        <v>29</v>
      </c>
      <c r="E59">
        <v>25.798373809084296</v>
      </c>
      <c r="F59">
        <v>1</v>
      </c>
    </row>
    <row r="60" spans="3:6" x14ac:dyDescent="0.25">
      <c r="C60" s="5">
        <v>0.29458333333333336</v>
      </c>
      <c r="D60" t="s">
        <v>7</v>
      </c>
      <c r="E60">
        <v>76.072311028838158</v>
      </c>
      <c r="F60">
        <v>81</v>
      </c>
    </row>
    <row r="61" spans="3:6" x14ac:dyDescent="0.25">
      <c r="C61" s="5">
        <v>0.29458333333333336</v>
      </c>
      <c r="D61" t="s">
        <v>35</v>
      </c>
      <c r="E61">
        <v>89.52585831284523</v>
      </c>
      <c r="F61">
        <v>64</v>
      </c>
    </row>
    <row r="62" spans="3:6" x14ac:dyDescent="0.25">
      <c r="C62" s="5">
        <v>0.29458333333333336</v>
      </c>
      <c r="D62" t="s">
        <v>37</v>
      </c>
      <c r="E62">
        <v>86.769525497220457</v>
      </c>
      <c r="F62">
        <v>84</v>
      </c>
    </row>
    <row r="63" spans="3:6" x14ac:dyDescent="0.25">
      <c r="C63" s="5">
        <v>0.29458333333333336</v>
      </c>
      <c r="D63" t="s">
        <v>78</v>
      </c>
      <c r="E63">
        <v>17.506897752173245</v>
      </c>
      <c r="F63">
        <v>20</v>
      </c>
    </row>
    <row r="64" spans="3:6" x14ac:dyDescent="0.25">
      <c r="C64" s="5">
        <v>0.29458333333333336</v>
      </c>
      <c r="D64" t="s">
        <v>58</v>
      </c>
      <c r="E64">
        <v>43.370470311492682</v>
      </c>
      <c r="F64">
        <v>99</v>
      </c>
    </row>
    <row r="65" spans="3:6" x14ac:dyDescent="0.25">
      <c r="C65" s="5">
        <v>0.29458333333333336</v>
      </c>
      <c r="D65" t="s">
        <v>37</v>
      </c>
      <c r="E65">
        <v>57.482464821077883</v>
      </c>
      <c r="F65">
        <v>4</v>
      </c>
    </row>
    <row r="66" spans="3:6" x14ac:dyDescent="0.25">
      <c r="C66" s="5">
        <v>0.29458333333333336</v>
      </c>
      <c r="D66" t="s">
        <v>38</v>
      </c>
      <c r="E66">
        <v>53.760814038105309</v>
      </c>
      <c r="F66">
        <v>42</v>
      </c>
    </row>
    <row r="67" spans="3:6" x14ac:dyDescent="0.25">
      <c r="C67" s="5">
        <v>0.29464120370370367</v>
      </c>
      <c r="D67" t="s">
        <v>61</v>
      </c>
      <c r="E67">
        <v>49.377987836487591</v>
      </c>
      <c r="F67">
        <v>0</v>
      </c>
    </row>
    <row r="68" spans="3:6" x14ac:dyDescent="0.25">
      <c r="C68" s="5">
        <v>0.29464120370370367</v>
      </c>
      <c r="D68" t="s">
        <v>67</v>
      </c>
      <c r="E68">
        <v>38.021940272301435</v>
      </c>
      <c r="F68">
        <v>62</v>
      </c>
    </row>
    <row r="69" spans="3:6" x14ac:dyDescent="0.25">
      <c r="C69" s="5">
        <v>0.29464120370370367</v>
      </c>
      <c r="D69" t="s">
        <v>64</v>
      </c>
      <c r="E69">
        <v>57.64782982878387</v>
      </c>
      <c r="F69">
        <v>59</v>
      </c>
    </row>
    <row r="70" spans="3:6" x14ac:dyDescent="0.25">
      <c r="C70" s="5">
        <v>0.29464120370370367</v>
      </c>
      <c r="D70" t="s">
        <v>52</v>
      </c>
      <c r="E70">
        <v>99.457755731418729</v>
      </c>
      <c r="F70">
        <v>3</v>
      </c>
    </row>
    <row r="71" spans="3:6" x14ac:dyDescent="0.25">
      <c r="C71" s="5">
        <v>0.29464120370370367</v>
      </c>
      <c r="D71" t="s">
        <v>59</v>
      </c>
      <c r="E71">
        <v>50.481190509162843</v>
      </c>
      <c r="F71">
        <v>20</v>
      </c>
    </row>
    <row r="72" spans="3:6" x14ac:dyDescent="0.25">
      <c r="C72" s="5">
        <v>0.29464120370370367</v>
      </c>
      <c r="D72" t="s">
        <v>64</v>
      </c>
      <c r="E72">
        <v>75.322558404877782</v>
      </c>
      <c r="F72">
        <v>95</v>
      </c>
    </row>
    <row r="73" spans="3:6" x14ac:dyDescent="0.25">
      <c r="C73" s="5">
        <v>0.29464120370370367</v>
      </c>
      <c r="D73" t="s">
        <v>32</v>
      </c>
      <c r="E73">
        <v>6.0331251937896013</v>
      </c>
      <c r="F73">
        <v>45</v>
      </c>
    </row>
    <row r="74" spans="3:6" x14ac:dyDescent="0.25">
      <c r="C74" s="5">
        <v>0.29464120370370367</v>
      </c>
      <c r="D74" t="s">
        <v>44</v>
      </c>
      <c r="E74">
        <v>32.079763268120587</v>
      </c>
      <c r="F74">
        <v>74</v>
      </c>
    </row>
    <row r="75" spans="3:6" x14ac:dyDescent="0.25">
      <c r="C75" s="5">
        <v>0.29464120370370367</v>
      </c>
      <c r="D75" t="s">
        <v>27</v>
      </c>
      <c r="E75">
        <v>15.400750376284122</v>
      </c>
      <c r="F75">
        <v>87</v>
      </c>
    </row>
    <row r="76" spans="3:6" x14ac:dyDescent="0.25">
      <c r="C76" s="5">
        <v>0.29464120370370367</v>
      </c>
      <c r="D76" t="s">
        <v>40</v>
      </c>
      <c r="E76">
        <v>66.418482689186931</v>
      </c>
      <c r="F76">
        <v>89</v>
      </c>
    </row>
    <row r="77" spans="3:6" x14ac:dyDescent="0.25">
      <c r="C77" s="5">
        <v>0.29469907407407409</v>
      </c>
      <c r="D77" t="s">
        <v>32</v>
      </c>
      <c r="E77">
        <v>78.056910401210189</v>
      </c>
      <c r="F77">
        <v>5</v>
      </c>
    </row>
    <row r="78" spans="3:6" x14ac:dyDescent="0.25">
      <c r="C78" s="5">
        <v>0.29469907407407409</v>
      </c>
      <c r="D78" t="s">
        <v>79</v>
      </c>
      <c r="E78">
        <v>81.331744743511081</v>
      </c>
      <c r="F78">
        <v>24</v>
      </c>
    </row>
    <row r="79" spans="3:6" x14ac:dyDescent="0.25">
      <c r="C79" s="5">
        <v>0.29469907407407409</v>
      </c>
      <c r="D79" t="s">
        <v>68</v>
      </c>
      <c r="E79">
        <v>65.02278964035213</v>
      </c>
      <c r="F79">
        <v>45</v>
      </c>
    </row>
    <row r="80" spans="3:6" x14ac:dyDescent="0.25">
      <c r="C80" s="5">
        <v>0.29469907407407409</v>
      </c>
      <c r="D80" t="s">
        <v>75</v>
      </c>
      <c r="E80">
        <v>54.468832071870565</v>
      </c>
      <c r="F80">
        <v>80</v>
      </c>
    </row>
    <row r="81" spans="3:6" x14ac:dyDescent="0.25">
      <c r="C81" s="5">
        <v>0.29469907407407409</v>
      </c>
      <c r="D81" t="s">
        <v>34</v>
      </c>
      <c r="E81">
        <v>55.795671534724534</v>
      </c>
      <c r="F81">
        <v>44</v>
      </c>
    </row>
    <row r="82" spans="3:6" x14ac:dyDescent="0.25">
      <c r="C82" s="5">
        <v>0.29469907407407409</v>
      </c>
      <c r="D82" t="s">
        <v>67</v>
      </c>
      <c r="E82">
        <v>26.731165312230587</v>
      </c>
      <c r="F82">
        <v>5</v>
      </c>
    </row>
    <row r="83" spans="3:6" x14ac:dyDescent="0.25">
      <c r="C83" s="5">
        <v>0.29469907407407409</v>
      </c>
      <c r="D83" t="s">
        <v>78</v>
      </c>
      <c r="E83">
        <v>25.660784053616226</v>
      </c>
      <c r="F83">
        <v>26</v>
      </c>
    </row>
    <row r="84" spans="3:6" x14ac:dyDescent="0.25">
      <c r="C84" s="5">
        <v>0.29469907407407409</v>
      </c>
      <c r="D84" t="s">
        <v>35</v>
      </c>
      <c r="E84">
        <v>65.702850581146777</v>
      </c>
      <c r="F84">
        <v>92</v>
      </c>
    </row>
    <row r="85" spans="3:6" x14ac:dyDescent="0.25">
      <c r="C85" s="5">
        <v>0.29469907407407409</v>
      </c>
      <c r="D85" t="s">
        <v>45</v>
      </c>
      <c r="E85">
        <v>82.021846948191524</v>
      </c>
      <c r="F85">
        <v>18</v>
      </c>
    </row>
    <row r="86" spans="3:6" x14ac:dyDescent="0.25">
      <c r="C86" s="5">
        <v>0.29469907407407409</v>
      </c>
      <c r="D86" t="s">
        <v>60</v>
      </c>
      <c r="E86">
        <v>55.471943551674485</v>
      </c>
      <c r="F86">
        <v>24</v>
      </c>
    </row>
    <row r="87" spans="3:6" x14ac:dyDescent="0.25">
      <c r="C87" s="5">
        <v>0.29475694444444445</v>
      </c>
      <c r="D87" t="s">
        <v>46</v>
      </c>
      <c r="E87">
        <v>38.375905901193619</v>
      </c>
      <c r="F87">
        <v>93</v>
      </c>
    </row>
    <row r="88" spans="3:6" x14ac:dyDescent="0.25">
      <c r="C88" s="5">
        <v>0.29475694444444445</v>
      </c>
      <c r="D88" t="s">
        <v>45</v>
      </c>
      <c r="E88">
        <v>51.88377823214978</v>
      </c>
      <c r="F88">
        <v>64</v>
      </c>
    </row>
    <row r="89" spans="3:6" x14ac:dyDescent="0.25">
      <c r="C89" s="5">
        <v>0.29475694444444445</v>
      </c>
      <c r="D89" t="s">
        <v>53</v>
      </c>
      <c r="E89">
        <v>81.856154231354594</v>
      </c>
      <c r="F89">
        <v>13</v>
      </c>
    </row>
    <row r="90" spans="3:6" x14ac:dyDescent="0.25">
      <c r="C90" s="5">
        <v>0.29475694444444445</v>
      </c>
      <c r="D90" t="s">
        <v>74</v>
      </c>
      <c r="E90">
        <v>55.373258888721466</v>
      </c>
      <c r="F90">
        <v>24</v>
      </c>
    </row>
    <row r="91" spans="3:6" x14ac:dyDescent="0.25">
      <c r="C91" s="5">
        <v>0.29475694444444445</v>
      </c>
      <c r="D91" t="s">
        <v>74</v>
      </c>
      <c r="E91">
        <v>16.549810906872153</v>
      </c>
      <c r="F91">
        <v>75</v>
      </c>
    </row>
    <row r="92" spans="3:6" x14ac:dyDescent="0.25">
      <c r="C92" s="5">
        <v>0.29475694444444445</v>
      </c>
      <c r="D92" t="s">
        <v>43</v>
      </c>
      <c r="E92">
        <v>56.453677010722458</v>
      </c>
      <c r="F92">
        <v>52</v>
      </c>
    </row>
    <row r="93" spans="3:6" x14ac:dyDescent="0.25">
      <c r="C93" s="5">
        <v>0.29475694444444445</v>
      </c>
      <c r="D93" t="s">
        <v>66</v>
      </c>
      <c r="E93">
        <v>18.145456747151911</v>
      </c>
      <c r="F93">
        <v>22</v>
      </c>
    </row>
    <row r="94" spans="3:6" x14ac:dyDescent="0.25">
      <c r="C94" s="5">
        <v>0.29475694444444445</v>
      </c>
      <c r="D94" t="s">
        <v>43</v>
      </c>
      <c r="E94">
        <v>5.7399611687287688</v>
      </c>
      <c r="F94">
        <v>26</v>
      </c>
    </row>
    <row r="95" spans="3:6" x14ac:dyDescent="0.25">
      <c r="C95" s="5">
        <v>0.29475694444444445</v>
      </c>
      <c r="D95" t="s">
        <v>47</v>
      </c>
      <c r="E95">
        <v>69.063338008709252</v>
      </c>
      <c r="F95">
        <v>30</v>
      </c>
    </row>
    <row r="96" spans="3:6" x14ac:dyDescent="0.25">
      <c r="C96" s="5">
        <v>0.29475694444444445</v>
      </c>
      <c r="D96" t="s">
        <v>48</v>
      </c>
      <c r="E96">
        <v>86.082086921669543</v>
      </c>
      <c r="F96">
        <v>0</v>
      </c>
    </row>
    <row r="97" spans="3:6" x14ac:dyDescent="0.25">
      <c r="C97" s="5">
        <v>0.29481481481481481</v>
      </c>
      <c r="D97" t="s">
        <v>59</v>
      </c>
      <c r="E97">
        <v>47.909792652353644</v>
      </c>
      <c r="F97">
        <v>53</v>
      </c>
    </row>
    <row r="98" spans="3:6" x14ac:dyDescent="0.25">
      <c r="C98" s="5">
        <v>0.29481481481481481</v>
      </c>
      <c r="D98" t="s">
        <v>58</v>
      </c>
      <c r="E98">
        <v>68.254158482886851</v>
      </c>
      <c r="F98">
        <v>78</v>
      </c>
    </row>
    <row r="99" spans="3:6" x14ac:dyDescent="0.25">
      <c r="C99" s="5">
        <v>0.29481481481481481</v>
      </c>
      <c r="D99" t="s">
        <v>60</v>
      </c>
      <c r="E99">
        <v>12.454993627034128</v>
      </c>
      <c r="F99">
        <v>8</v>
      </c>
    </row>
    <row r="100" spans="3:6" x14ac:dyDescent="0.25">
      <c r="C100" s="5">
        <v>0.29481481481481481</v>
      </c>
      <c r="D100" t="s">
        <v>77</v>
      </c>
      <c r="E100">
        <v>58.696340746246278</v>
      </c>
      <c r="F100">
        <v>28</v>
      </c>
    </row>
    <row r="101" spans="3:6" x14ac:dyDescent="0.25">
      <c r="C101" s="5">
        <v>0.29481481481481481</v>
      </c>
      <c r="D101" t="s">
        <v>36</v>
      </c>
      <c r="E101">
        <v>38.854713249020278</v>
      </c>
      <c r="F101">
        <v>98</v>
      </c>
    </row>
    <row r="102" spans="3:6" x14ac:dyDescent="0.25">
      <c r="C102" s="5">
        <v>0.29481481481481481</v>
      </c>
      <c r="D102" t="s">
        <v>42</v>
      </c>
      <c r="E102">
        <v>6.4740173751488328</v>
      </c>
      <c r="F102">
        <v>19</v>
      </c>
    </row>
    <row r="103" spans="3:6" x14ac:dyDescent="0.25">
      <c r="C103" s="5">
        <v>0.29481481481481481</v>
      </c>
      <c r="D103" t="s">
        <v>73</v>
      </c>
      <c r="E103">
        <v>14.060534886084497</v>
      </c>
      <c r="F103">
        <v>11</v>
      </c>
    </row>
    <row r="104" spans="3:6" x14ac:dyDescent="0.25">
      <c r="C104" s="5">
        <v>0.29481481481481481</v>
      </c>
      <c r="D104" t="s">
        <v>60</v>
      </c>
      <c r="E104">
        <v>67.394708283245564</v>
      </c>
      <c r="F104">
        <v>66</v>
      </c>
    </row>
    <row r="105" spans="3:6" x14ac:dyDescent="0.25">
      <c r="C105" s="5">
        <v>0.29481481481481481</v>
      </c>
      <c r="D105" t="s">
        <v>51</v>
      </c>
      <c r="E105">
        <v>77.997687878087163</v>
      </c>
      <c r="F105">
        <v>35</v>
      </c>
    </row>
  </sheetData>
  <dataConsolidate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GetQuery">
              <controlPr defaultSize="0" print="0" autoFill="0" autoPict="0" macro="[0]!getQuery">
                <anchor moveWithCells="1" sizeWithCells="1">
                  <from>
                    <xdr:col>7</xdr:col>
                    <xdr:colOff>561975</xdr:colOff>
                    <xdr:row>1</xdr:row>
                    <xdr:rowOff>104775</xdr:rowOff>
                  </from>
                  <to>
                    <xdr:col>10</xdr:col>
                    <xdr:colOff>285750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271"/>
  <sheetViews>
    <sheetView workbookViewId="0">
      <selection activeCell="C37" sqref="C37"/>
    </sheetView>
  </sheetViews>
  <sheetFormatPr defaultRowHeight="15" x14ac:dyDescent="0.25"/>
  <cols>
    <col min="1" max="1" width="21.28515625" customWidth="1"/>
    <col min="2" max="2" width="18.7109375" customWidth="1"/>
    <col min="3" max="3" width="17.28515625" customWidth="1"/>
    <col min="4" max="4" width="10.7109375" bestFit="1" customWidth="1"/>
    <col min="6" max="6" width="11.5703125" bestFit="1" customWidth="1"/>
  </cols>
  <sheetData>
    <row r="1" spans="1:12" x14ac:dyDescent="0.25">
      <c r="A1" s="1" t="s">
        <v>17</v>
      </c>
    </row>
    <row r="2" spans="1:12" x14ac:dyDescent="0.25">
      <c r="A2" s="1" t="s">
        <v>80</v>
      </c>
    </row>
    <row r="4" spans="1:12" s="2" customFormat="1" x14ac:dyDescent="0.25">
      <c r="A4" t="s">
        <v>8</v>
      </c>
      <c r="B4" s="2" t="s">
        <v>39</v>
      </c>
      <c r="C4" s="2" t="s">
        <v>7</v>
      </c>
    </row>
    <row r="5" spans="1:12" s="2" customFormat="1" x14ac:dyDescent="0.25">
      <c r="A5" t="s">
        <v>9</v>
      </c>
      <c r="B5" s="3">
        <f ca="1">TODAY()</f>
        <v>41963</v>
      </c>
    </row>
    <row r="6" spans="1:12" x14ac:dyDescent="0.25">
      <c r="A6" t="s">
        <v>10</v>
      </c>
      <c r="B6" s="4">
        <v>0.25</v>
      </c>
    </row>
    <row r="7" spans="1:12" x14ac:dyDescent="0.25">
      <c r="A7" t="s">
        <v>11</v>
      </c>
      <c r="B7" s="4">
        <v>0.99305555555555547</v>
      </c>
    </row>
    <row r="8" spans="1:12" x14ac:dyDescent="0.25">
      <c r="A8" t="s">
        <v>12</v>
      </c>
      <c r="B8" s="2">
        <v>200</v>
      </c>
      <c r="D8" t="s">
        <v>18</v>
      </c>
      <c r="E8" t="s">
        <v>14</v>
      </c>
      <c r="F8" t="s">
        <v>13</v>
      </c>
      <c r="G8" t="s">
        <v>19</v>
      </c>
      <c r="H8" t="s">
        <v>20</v>
      </c>
      <c r="I8" t="s">
        <v>21</v>
      </c>
      <c r="J8" t="s">
        <v>22</v>
      </c>
      <c r="K8" t="s">
        <v>16</v>
      </c>
      <c r="L8" t="s">
        <v>23</v>
      </c>
    </row>
    <row r="9" spans="1:12" x14ac:dyDescent="0.25">
      <c r="D9" s="7">
        <v>41963</v>
      </c>
      <c r="E9" t="s">
        <v>7</v>
      </c>
      <c r="F9" s="5">
        <v>0.29398148148148145</v>
      </c>
      <c r="G9">
        <v>47.414521919563413</v>
      </c>
      <c r="H9">
        <v>76.072311028838158</v>
      </c>
      <c r="I9">
        <v>47.414521919563413</v>
      </c>
      <c r="J9">
        <v>60.61288898345083</v>
      </c>
      <c r="K9">
        <v>312</v>
      </c>
      <c r="L9">
        <v>64.112427671595171</v>
      </c>
    </row>
    <row r="10" spans="1:12" x14ac:dyDescent="0.25">
      <c r="D10" s="7">
        <v>41963</v>
      </c>
      <c r="E10" t="s">
        <v>7</v>
      </c>
      <c r="F10" s="5">
        <v>0.29629629629629628</v>
      </c>
      <c r="G10">
        <v>37.599460361525416</v>
      </c>
      <c r="H10">
        <v>37.599460361525416</v>
      </c>
      <c r="I10">
        <v>13.694425765424967</v>
      </c>
      <c r="J10">
        <v>13.694425765424967</v>
      </c>
      <c r="K10">
        <v>26</v>
      </c>
      <c r="L10">
        <v>28.405216286102167</v>
      </c>
    </row>
    <row r="11" spans="1:12" x14ac:dyDescent="0.25">
      <c r="D11" s="7">
        <v>41963</v>
      </c>
      <c r="E11" t="s">
        <v>7</v>
      </c>
      <c r="F11" s="5">
        <v>0.2986111111111111</v>
      </c>
      <c r="G11">
        <v>77.405661484226584</v>
      </c>
      <c r="H11">
        <v>95.410702307708561</v>
      </c>
      <c r="I11">
        <v>0.11500460095703602</v>
      </c>
      <c r="J11">
        <v>0.11500460095703602</v>
      </c>
      <c r="K11">
        <v>194</v>
      </c>
      <c r="L11">
        <v>74.206498913231698</v>
      </c>
    </row>
    <row r="12" spans="1:12" x14ac:dyDescent="0.25">
      <c r="D12" s="7">
        <v>41963</v>
      </c>
      <c r="E12" t="s">
        <v>7</v>
      </c>
      <c r="F12" s="5">
        <v>0.30092592592592593</v>
      </c>
      <c r="G12">
        <v>68.423769110813737</v>
      </c>
      <c r="H12">
        <v>95.097891381010413</v>
      </c>
      <c r="I12">
        <v>34.633217984810472</v>
      </c>
      <c r="J12">
        <v>34.633217984810472</v>
      </c>
      <c r="K12">
        <v>167</v>
      </c>
      <c r="L12">
        <v>61.968102545371494</v>
      </c>
    </row>
    <row r="13" spans="1:12" x14ac:dyDescent="0.25">
      <c r="D13" s="7">
        <v>41963</v>
      </c>
      <c r="E13" t="s">
        <v>7</v>
      </c>
      <c r="F13" s="5">
        <v>0.30324074074074076</v>
      </c>
      <c r="G13">
        <v>31.301739462651312</v>
      </c>
      <c r="H13">
        <v>92.125457897782326</v>
      </c>
      <c r="I13">
        <v>9.3344691675156355</v>
      </c>
      <c r="J13">
        <v>92.125457897782326</v>
      </c>
      <c r="K13">
        <v>179</v>
      </c>
      <c r="L13">
        <v>31.601431494053223</v>
      </c>
    </row>
    <row r="14" spans="1:12" x14ac:dyDescent="0.25">
      <c r="D14" s="7">
        <v>41963</v>
      </c>
      <c r="E14" t="s">
        <v>7</v>
      </c>
      <c r="F14" s="5">
        <v>0.30555555555555552</v>
      </c>
      <c r="G14">
        <v>98.805231275036931</v>
      </c>
      <c r="H14">
        <v>98.805231275036931</v>
      </c>
      <c r="I14">
        <v>36.099244654178619</v>
      </c>
      <c r="J14">
        <v>36.099244654178619</v>
      </c>
      <c r="K14">
        <v>163</v>
      </c>
      <c r="L14">
        <v>74.263067061704319</v>
      </c>
    </row>
    <row r="15" spans="1:12" x14ac:dyDescent="0.25">
      <c r="D15" s="7">
        <v>41963</v>
      </c>
      <c r="E15" t="s">
        <v>7</v>
      </c>
      <c r="F15" s="5">
        <v>0.30787037037037041</v>
      </c>
      <c r="G15">
        <v>70.016235671937466</v>
      </c>
      <c r="H15">
        <v>70.016235671937466</v>
      </c>
      <c r="I15">
        <v>70.016235671937466</v>
      </c>
      <c r="J15">
        <v>70.016235671937466</v>
      </c>
      <c r="K15">
        <v>69</v>
      </c>
      <c r="L15">
        <v>70.016235671937466</v>
      </c>
    </row>
    <row r="16" spans="1:12" x14ac:dyDescent="0.25">
      <c r="D16" s="7">
        <v>41963</v>
      </c>
      <c r="E16" t="s">
        <v>7</v>
      </c>
      <c r="F16" s="5">
        <v>0.31018518518518517</v>
      </c>
      <c r="G16">
        <v>88.268496585078537</v>
      </c>
      <c r="H16">
        <v>94.585381937213242</v>
      </c>
      <c r="I16">
        <v>19.241996272467077</v>
      </c>
      <c r="J16">
        <v>19.241996272467077</v>
      </c>
      <c r="K16">
        <v>160</v>
      </c>
      <c r="L16">
        <v>59.296169476292562</v>
      </c>
    </row>
    <row r="17" spans="4:12" x14ac:dyDescent="0.25">
      <c r="D17" s="7">
        <v>41963</v>
      </c>
      <c r="E17" t="s">
        <v>7</v>
      </c>
      <c r="F17" s="5">
        <v>0.3125</v>
      </c>
      <c r="G17">
        <v>81.849076272919774</v>
      </c>
      <c r="H17">
        <v>81.849076272919774</v>
      </c>
      <c r="I17">
        <v>31.457194895483553</v>
      </c>
      <c r="J17">
        <v>31.457194895483553</v>
      </c>
      <c r="K17">
        <v>188</v>
      </c>
      <c r="L17">
        <v>58.685213246288647</v>
      </c>
    </row>
    <row r="18" spans="4:12" x14ac:dyDescent="0.25">
      <c r="D18" s="7">
        <v>41963</v>
      </c>
      <c r="E18" t="s">
        <v>7</v>
      </c>
      <c r="F18" s="5">
        <v>0.31481481481481483</v>
      </c>
      <c r="G18">
        <v>0.84565714932978153</v>
      </c>
      <c r="H18">
        <v>80.874639935791492</v>
      </c>
      <c r="I18">
        <v>0.84565714932978153</v>
      </c>
      <c r="J18">
        <v>68.536388245411217</v>
      </c>
      <c r="K18">
        <v>426</v>
      </c>
      <c r="L18">
        <v>43.22996620185009</v>
      </c>
    </row>
    <row r="19" spans="4:12" x14ac:dyDescent="0.25">
      <c r="D19" s="7">
        <v>41963</v>
      </c>
      <c r="E19" t="s">
        <v>7</v>
      </c>
      <c r="F19" s="5">
        <v>0.31712962962962959</v>
      </c>
      <c r="G19">
        <v>85.065974551253021</v>
      </c>
      <c r="H19">
        <v>95.295685692690313</v>
      </c>
      <c r="I19">
        <v>20.925282291136682</v>
      </c>
      <c r="J19">
        <v>35.114566702395678</v>
      </c>
      <c r="K19">
        <v>317</v>
      </c>
      <c r="L19">
        <v>62.073880726139556</v>
      </c>
    </row>
    <row r="20" spans="4:12" x14ac:dyDescent="0.25">
      <c r="D20" s="7">
        <v>41963</v>
      </c>
      <c r="E20" t="s">
        <v>7</v>
      </c>
      <c r="F20" s="5">
        <v>0.31944444444444448</v>
      </c>
      <c r="G20">
        <v>99.922172166407108</v>
      </c>
      <c r="H20">
        <v>99.922172166407108</v>
      </c>
      <c r="I20">
        <v>99.922172166407108</v>
      </c>
      <c r="J20">
        <v>99.922172166407108</v>
      </c>
      <c r="K20">
        <v>40</v>
      </c>
      <c r="L20">
        <v>99.922172166407108</v>
      </c>
    </row>
    <row r="21" spans="4:12" x14ac:dyDescent="0.25">
      <c r="D21" s="7">
        <v>41963</v>
      </c>
      <c r="E21" t="s">
        <v>7</v>
      </c>
      <c r="F21" s="5">
        <v>0.32175925925925924</v>
      </c>
      <c r="G21">
        <v>22.756876354105771</v>
      </c>
      <c r="H21">
        <v>43.935446511022747</v>
      </c>
      <c r="I21">
        <v>22.756876354105771</v>
      </c>
      <c r="J21">
        <v>43.935446511022747</v>
      </c>
      <c r="K21">
        <v>118</v>
      </c>
      <c r="L21">
        <v>36.756270186644109</v>
      </c>
    </row>
    <row r="22" spans="4:12" x14ac:dyDescent="0.25">
      <c r="D22" s="7">
        <v>41963</v>
      </c>
      <c r="E22" t="s">
        <v>7</v>
      </c>
      <c r="F22" s="5">
        <v>0.32407407407407407</v>
      </c>
      <c r="G22">
        <v>27.029020735062659</v>
      </c>
      <c r="H22">
        <v>39.827147033065557</v>
      </c>
      <c r="I22">
        <v>27.029020735062659</v>
      </c>
      <c r="J22">
        <v>39.827147033065557</v>
      </c>
      <c r="K22">
        <v>119</v>
      </c>
      <c r="L22">
        <v>34.557330322123185</v>
      </c>
    </row>
    <row r="23" spans="4:12" x14ac:dyDescent="0.25">
      <c r="D23" s="7">
        <v>41963</v>
      </c>
      <c r="E23" t="s">
        <v>7</v>
      </c>
      <c r="F23" s="5">
        <v>0.3263888888888889</v>
      </c>
      <c r="G23">
        <v>99.316028947941959</v>
      </c>
      <c r="H23">
        <v>99.316028947941959</v>
      </c>
      <c r="I23">
        <v>5.5027784081175923</v>
      </c>
      <c r="J23">
        <v>5.5027784081175923</v>
      </c>
      <c r="K23">
        <v>204</v>
      </c>
      <c r="L23">
        <v>59.340032138039959</v>
      </c>
    </row>
    <row r="24" spans="4:12" x14ac:dyDescent="0.25">
      <c r="D24" s="7">
        <v>41963</v>
      </c>
      <c r="E24" t="s">
        <v>7</v>
      </c>
      <c r="F24" s="5">
        <v>0.32870370370370372</v>
      </c>
      <c r="G24">
        <v>60.417317878454924</v>
      </c>
      <c r="H24">
        <v>70.949144707992673</v>
      </c>
      <c r="I24">
        <v>30.795873585157096</v>
      </c>
      <c r="J24">
        <v>45.470710098743439</v>
      </c>
      <c r="K24">
        <v>422</v>
      </c>
      <c r="L24">
        <v>54.98041470388339</v>
      </c>
    </row>
    <row r="25" spans="4:12" x14ac:dyDescent="0.25">
      <c r="D25" s="7">
        <v>41963</v>
      </c>
      <c r="E25" t="s">
        <v>7</v>
      </c>
      <c r="F25" s="5">
        <v>0.33101851851851855</v>
      </c>
      <c r="G25">
        <v>17.218649270944297</v>
      </c>
      <c r="H25">
        <v>76.882521482184529</v>
      </c>
      <c r="I25">
        <v>17.218649270944297</v>
      </c>
      <c r="J25">
        <v>76.882521482184529</v>
      </c>
      <c r="K25">
        <v>61</v>
      </c>
      <c r="L25">
        <v>30.911996991556808</v>
      </c>
    </row>
    <row r="26" spans="4:12" x14ac:dyDescent="0.25">
      <c r="D26" s="7">
        <v>41963</v>
      </c>
      <c r="E26" t="s">
        <v>7</v>
      </c>
      <c r="F26" s="5">
        <v>0.33333333333333331</v>
      </c>
      <c r="G26">
        <v>22.864250163547695</v>
      </c>
      <c r="H26">
        <v>98.078705440275371</v>
      </c>
      <c r="I26">
        <v>22.864250163547695</v>
      </c>
      <c r="J26">
        <v>41.052483022212982</v>
      </c>
      <c r="K26">
        <v>161</v>
      </c>
      <c r="L26">
        <v>38.234580082020592</v>
      </c>
    </row>
    <row r="27" spans="4:12" x14ac:dyDescent="0.25">
      <c r="D27" s="7">
        <v>41963</v>
      </c>
      <c r="E27" t="s">
        <v>7</v>
      </c>
      <c r="F27" s="5">
        <v>0.33564814814814814</v>
      </c>
      <c r="G27">
        <v>2.9062749119475484</v>
      </c>
      <c r="H27">
        <v>51.509804860688746</v>
      </c>
      <c r="I27">
        <v>2.9062749119475484</v>
      </c>
      <c r="J27">
        <v>51.509804860688746</v>
      </c>
      <c r="K27">
        <v>96</v>
      </c>
      <c r="L27">
        <v>34.982870810442058</v>
      </c>
    </row>
    <row r="28" spans="4:12" x14ac:dyDescent="0.25">
      <c r="D28" s="7">
        <v>41963</v>
      </c>
      <c r="E28" t="s">
        <v>7</v>
      </c>
      <c r="F28" s="5">
        <v>0.33796296296296297</v>
      </c>
      <c r="G28">
        <v>84.066727291792631</v>
      </c>
      <c r="H28">
        <v>93.27684345189482</v>
      </c>
      <c r="I28">
        <v>1.6291093546897173</v>
      </c>
      <c r="J28">
        <v>21.983351302333176</v>
      </c>
      <c r="K28">
        <v>305</v>
      </c>
      <c r="L28">
        <v>38.770344061471647</v>
      </c>
    </row>
    <row r="29" spans="4:12" x14ac:dyDescent="0.25">
      <c r="D29" s="7">
        <v>41963</v>
      </c>
      <c r="E29" t="s">
        <v>7</v>
      </c>
      <c r="F29" s="5">
        <v>0.34027777777777773</v>
      </c>
      <c r="G29">
        <v>44.071683473885059</v>
      </c>
      <c r="H29">
        <v>71.305546327494085</v>
      </c>
      <c r="I29">
        <v>44.071683473885059</v>
      </c>
      <c r="J29">
        <v>65.876414394006133</v>
      </c>
      <c r="K29">
        <v>127</v>
      </c>
      <c r="L29">
        <v>52.350729094326908</v>
      </c>
    </row>
    <row r="30" spans="4:12" x14ac:dyDescent="0.25">
      <c r="D30" s="7">
        <v>41963</v>
      </c>
      <c r="E30" t="s">
        <v>7</v>
      </c>
      <c r="F30" s="5">
        <v>0.34259259259259256</v>
      </c>
      <c r="G30">
        <v>47.23638251889497</v>
      </c>
      <c r="H30">
        <v>72.824140870943666</v>
      </c>
      <c r="I30">
        <v>2.4052673252299428</v>
      </c>
      <c r="J30">
        <v>72.824140870943666</v>
      </c>
      <c r="K30">
        <v>224</v>
      </c>
      <c r="L30">
        <v>46.568255629452842</v>
      </c>
    </row>
    <row r="31" spans="4:12" x14ac:dyDescent="0.25">
      <c r="D31" s="7">
        <v>41963</v>
      </c>
      <c r="E31" t="s">
        <v>7</v>
      </c>
      <c r="F31" s="5">
        <v>0.34490740740740744</v>
      </c>
      <c r="G31">
        <v>70.250335545279086</v>
      </c>
      <c r="H31">
        <v>70.250335545279086</v>
      </c>
      <c r="I31">
        <v>40.691384277306497</v>
      </c>
      <c r="J31">
        <v>40.691384277306497</v>
      </c>
      <c r="K31">
        <v>76</v>
      </c>
      <c r="L31">
        <v>60.138062743077938</v>
      </c>
    </row>
    <row r="32" spans="4:12" x14ac:dyDescent="0.25">
      <c r="D32" s="7">
        <v>41963</v>
      </c>
      <c r="E32" t="s">
        <v>7</v>
      </c>
      <c r="F32" s="5">
        <v>0.34722222222222227</v>
      </c>
      <c r="G32">
        <v>21.435948275029659</v>
      </c>
      <c r="H32">
        <v>84.647173318080604</v>
      </c>
      <c r="I32">
        <v>9.8320388467982411</v>
      </c>
      <c r="J32">
        <v>84.647173318080604</v>
      </c>
      <c r="K32">
        <v>299</v>
      </c>
      <c r="L32">
        <v>46.051459735879256</v>
      </c>
    </row>
    <row r="33" spans="4:12" x14ac:dyDescent="0.25">
      <c r="D33" s="7">
        <v>41963</v>
      </c>
      <c r="E33" t="s">
        <v>7</v>
      </c>
      <c r="F33" s="5">
        <v>0.34953703703703703</v>
      </c>
      <c r="G33">
        <v>24.916969914920628</v>
      </c>
      <c r="H33">
        <v>97.848475235514343</v>
      </c>
      <c r="I33">
        <v>5.5031550116837025</v>
      </c>
      <c r="J33">
        <v>5.5031550116837025</v>
      </c>
      <c r="K33">
        <v>260</v>
      </c>
      <c r="L33">
        <v>34.398333895235105</v>
      </c>
    </row>
    <row r="34" spans="4:12" x14ac:dyDescent="0.25">
      <c r="D34" s="7">
        <v>41963</v>
      </c>
      <c r="E34" t="s">
        <v>7</v>
      </c>
      <c r="F34" s="5">
        <v>0.35185185185185186</v>
      </c>
      <c r="G34">
        <v>4.7398355090990663</v>
      </c>
      <c r="H34">
        <v>87.57228737231344</v>
      </c>
      <c r="I34">
        <v>4.7398355090990663</v>
      </c>
      <c r="J34">
        <v>5.0328998360782862</v>
      </c>
      <c r="K34">
        <v>203</v>
      </c>
      <c r="L34">
        <v>20.346073503720717</v>
      </c>
    </row>
    <row r="35" spans="4:12" x14ac:dyDescent="0.25">
      <c r="D35" s="7">
        <v>41963</v>
      </c>
      <c r="E35" t="s">
        <v>7</v>
      </c>
      <c r="F35" s="5">
        <v>0.35416666666666669</v>
      </c>
      <c r="G35">
        <v>31.891592429019511</v>
      </c>
      <c r="H35">
        <v>97.871974390000105</v>
      </c>
      <c r="I35">
        <v>5.9735449496656656</v>
      </c>
      <c r="J35">
        <v>25.404317560605705</v>
      </c>
      <c r="K35">
        <v>435</v>
      </c>
      <c r="L35">
        <v>39.69752655353868</v>
      </c>
    </row>
    <row r="36" spans="4:12" x14ac:dyDescent="0.25">
      <c r="D36" s="7">
        <v>41963</v>
      </c>
      <c r="E36" t="s">
        <v>7</v>
      </c>
      <c r="F36" s="5">
        <v>0.35648148148148145</v>
      </c>
      <c r="G36">
        <v>48.399437800981104</v>
      </c>
      <c r="H36">
        <v>97.150612808763981</v>
      </c>
      <c r="I36">
        <v>17.864652001298964</v>
      </c>
      <c r="J36">
        <v>17.864652001298964</v>
      </c>
      <c r="K36">
        <v>225</v>
      </c>
      <c r="L36">
        <v>60.873087138144506</v>
      </c>
    </row>
    <row r="37" spans="4:12" x14ac:dyDescent="0.25">
      <c r="D37" s="7">
        <v>41963</v>
      </c>
      <c r="E37" t="s">
        <v>7</v>
      </c>
      <c r="F37" s="5">
        <v>0.35879629629629628</v>
      </c>
      <c r="G37">
        <v>26.18009748402983</v>
      </c>
      <c r="H37">
        <v>59.509246028028429</v>
      </c>
      <c r="I37">
        <v>6.4514110796153545</v>
      </c>
      <c r="J37">
        <v>26.313511072658002</v>
      </c>
      <c r="K37">
        <v>297</v>
      </c>
      <c r="L37">
        <v>24.327529004542942</v>
      </c>
    </row>
    <row r="38" spans="4:12" x14ac:dyDescent="0.25">
      <c r="D38" s="7">
        <v>41963</v>
      </c>
      <c r="E38" t="s">
        <v>7</v>
      </c>
      <c r="F38" s="5">
        <v>0.3611111111111111</v>
      </c>
      <c r="G38">
        <v>55.226373695768416</v>
      </c>
      <c r="H38">
        <v>55.226373695768416</v>
      </c>
      <c r="I38">
        <v>4.5880675548687577</v>
      </c>
      <c r="J38">
        <v>4.5880675548687577</v>
      </c>
      <c r="K38">
        <v>54</v>
      </c>
      <c r="L38">
        <v>10.21454601496872</v>
      </c>
    </row>
    <row r="39" spans="4:12" x14ac:dyDescent="0.25">
      <c r="D39" s="7">
        <v>41963</v>
      </c>
      <c r="E39" t="s">
        <v>7</v>
      </c>
      <c r="F39" s="5">
        <v>0.36342592592592587</v>
      </c>
      <c r="G39">
        <v>48.61137205734849</v>
      </c>
      <c r="H39">
        <v>54.592690151184797</v>
      </c>
      <c r="I39">
        <v>48.61137205734849</v>
      </c>
      <c r="J39">
        <v>48.946913564577699</v>
      </c>
      <c r="K39">
        <v>167</v>
      </c>
      <c r="L39">
        <v>49.601912543924897</v>
      </c>
    </row>
    <row r="40" spans="4:12" x14ac:dyDescent="0.25">
      <c r="D40" s="7">
        <v>41963</v>
      </c>
      <c r="E40" t="s">
        <v>7</v>
      </c>
      <c r="F40" s="5">
        <v>0.36574074074074076</v>
      </c>
      <c r="G40">
        <v>93.969372124411166</v>
      </c>
      <c r="H40">
        <v>93.969372124411166</v>
      </c>
      <c r="I40">
        <v>27.043447457253933</v>
      </c>
      <c r="J40">
        <v>27.043447457253933</v>
      </c>
      <c r="K40">
        <v>212</v>
      </c>
      <c r="L40">
        <v>60.960410792657335</v>
      </c>
    </row>
    <row r="41" spans="4:12" x14ac:dyDescent="0.25">
      <c r="D41" s="7">
        <v>41963</v>
      </c>
      <c r="E41" t="s">
        <v>7</v>
      </c>
      <c r="F41" s="5">
        <v>0.36805555555555558</v>
      </c>
      <c r="G41">
        <v>23.608765751123428</v>
      </c>
      <c r="H41">
        <v>92.285708850249648</v>
      </c>
      <c r="I41">
        <v>5.9291121084243059</v>
      </c>
      <c r="J41">
        <v>8.3043526858091354</v>
      </c>
      <c r="K41">
        <v>348</v>
      </c>
      <c r="L41">
        <v>33.986855957298488</v>
      </c>
    </row>
    <row r="42" spans="4:12" x14ac:dyDescent="0.25">
      <c r="D42" s="7">
        <v>41963</v>
      </c>
      <c r="E42" t="s">
        <v>7</v>
      </c>
      <c r="F42" s="5">
        <v>0.37037037037037041</v>
      </c>
      <c r="G42">
        <v>24.56608209758997</v>
      </c>
      <c r="H42">
        <v>80.796298361383379</v>
      </c>
      <c r="I42">
        <v>5.6938828434795141</v>
      </c>
      <c r="J42">
        <v>37.932970840483904</v>
      </c>
      <c r="K42">
        <v>280</v>
      </c>
      <c r="L42">
        <v>41.05432185851636</v>
      </c>
    </row>
    <row r="43" spans="4:12" x14ac:dyDescent="0.25">
      <c r="D43" s="7">
        <v>41963</v>
      </c>
      <c r="E43" t="s">
        <v>7</v>
      </c>
      <c r="F43" s="5">
        <v>0.37268518518518517</v>
      </c>
      <c r="G43">
        <v>62.501440523192286</v>
      </c>
      <c r="H43">
        <v>83.533509308472276</v>
      </c>
      <c r="I43">
        <v>1.0196112561970949</v>
      </c>
      <c r="J43">
        <v>46.911943424493074</v>
      </c>
      <c r="K43">
        <v>287</v>
      </c>
      <c r="L43">
        <v>41.230562911693411</v>
      </c>
    </row>
    <row r="44" spans="4:12" x14ac:dyDescent="0.25">
      <c r="D44" s="7">
        <v>41963</v>
      </c>
      <c r="E44" t="s">
        <v>7</v>
      </c>
      <c r="F44" s="5">
        <v>0.375</v>
      </c>
      <c r="G44">
        <v>43.68978573475033</v>
      </c>
      <c r="H44">
        <v>43.68978573475033</v>
      </c>
      <c r="I44">
        <v>2.4986095260828733</v>
      </c>
      <c r="J44">
        <v>10.102791246026754</v>
      </c>
      <c r="K44">
        <v>152</v>
      </c>
      <c r="L44">
        <v>15.914736207464317</v>
      </c>
    </row>
    <row r="45" spans="4:12" x14ac:dyDescent="0.25">
      <c r="D45" s="7">
        <v>41963</v>
      </c>
      <c r="E45" t="s">
        <v>7</v>
      </c>
      <c r="F45" s="5">
        <v>0.37731481481481483</v>
      </c>
      <c r="G45">
        <v>94.016659492626786</v>
      </c>
      <c r="H45">
        <v>94.016659492626786</v>
      </c>
      <c r="I45">
        <v>0.49619860947132111</v>
      </c>
      <c r="J45">
        <v>48.382244096137583</v>
      </c>
      <c r="K45">
        <v>253</v>
      </c>
      <c r="L45">
        <v>53.870262794211328</v>
      </c>
    </row>
    <row r="46" spans="4:12" x14ac:dyDescent="0.25">
      <c r="D46" s="7">
        <v>41963</v>
      </c>
      <c r="E46" t="s">
        <v>7</v>
      </c>
      <c r="F46" s="5">
        <v>0.37962962962962959</v>
      </c>
      <c r="G46">
        <v>26.969122351147234</v>
      </c>
      <c r="H46">
        <v>98.87950315605849</v>
      </c>
      <c r="I46">
        <v>26.969122351147234</v>
      </c>
      <c r="J46">
        <v>98.87950315605849</v>
      </c>
      <c r="K46">
        <v>143</v>
      </c>
      <c r="L46">
        <v>72.730273772454396</v>
      </c>
    </row>
    <row r="47" spans="4:12" x14ac:dyDescent="0.25">
      <c r="D47" s="7">
        <v>41963</v>
      </c>
      <c r="E47" t="s">
        <v>7</v>
      </c>
      <c r="F47" s="5">
        <v>0.38194444444444442</v>
      </c>
      <c r="G47">
        <v>13.859153795056045</v>
      </c>
      <c r="H47">
        <v>74.073458230122924</v>
      </c>
      <c r="I47">
        <v>11.203174735419452</v>
      </c>
      <c r="J47">
        <v>74.073458230122924</v>
      </c>
      <c r="K47">
        <v>335</v>
      </c>
      <c r="L47">
        <v>43.818349286135451</v>
      </c>
    </row>
    <row r="48" spans="4:12" x14ac:dyDescent="0.25">
      <c r="D48" s="7">
        <v>41963</v>
      </c>
      <c r="E48" t="s">
        <v>7</v>
      </c>
      <c r="F48" s="5">
        <v>0.38657407407407413</v>
      </c>
      <c r="G48">
        <v>14.335348317399621</v>
      </c>
      <c r="H48">
        <v>90.979999187402427</v>
      </c>
      <c r="I48">
        <v>14.335348317399621</v>
      </c>
      <c r="J48">
        <v>35.665939725004137</v>
      </c>
      <c r="K48">
        <v>248</v>
      </c>
      <c r="L48">
        <v>58.144938640931109</v>
      </c>
    </row>
    <row r="49" spans="4:12" x14ac:dyDescent="0.25">
      <c r="D49" s="7">
        <v>41963</v>
      </c>
      <c r="E49" t="s">
        <v>7</v>
      </c>
      <c r="F49" s="5">
        <v>0.3888888888888889</v>
      </c>
      <c r="G49">
        <v>41.75497880205512</v>
      </c>
      <c r="H49">
        <v>41.75497880205512</v>
      </c>
      <c r="I49">
        <v>41.75497880205512</v>
      </c>
      <c r="J49">
        <v>41.75497880205512</v>
      </c>
      <c r="K49">
        <v>26</v>
      </c>
      <c r="L49">
        <v>41.75497880205512</v>
      </c>
    </row>
    <row r="50" spans="4:12" x14ac:dyDescent="0.25">
      <c r="D50" s="7">
        <v>41963</v>
      </c>
      <c r="E50" t="s">
        <v>7</v>
      </c>
      <c r="F50" s="5">
        <v>0.39120370370370372</v>
      </c>
      <c r="G50">
        <v>5.6506674969568849</v>
      </c>
      <c r="H50">
        <v>88.154077087529004</v>
      </c>
      <c r="I50">
        <v>5.6506674969568849</v>
      </c>
      <c r="J50">
        <v>35.325531149283051</v>
      </c>
      <c r="K50">
        <v>199</v>
      </c>
      <c r="L50">
        <v>47.266891998842581</v>
      </c>
    </row>
    <row r="51" spans="4:12" x14ac:dyDescent="0.25">
      <c r="D51" s="7">
        <v>41963</v>
      </c>
      <c r="E51" t="s">
        <v>7</v>
      </c>
      <c r="F51" s="5">
        <v>0.39351851851851855</v>
      </c>
      <c r="G51">
        <v>31.258804351091385</v>
      </c>
      <c r="H51">
        <v>47.146256314590573</v>
      </c>
      <c r="I51">
        <v>31.258804351091385</v>
      </c>
      <c r="J51">
        <v>47.146256314590573</v>
      </c>
      <c r="K51">
        <v>96</v>
      </c>
      <c r="L51">
        <v>31.920781516237184</v>
      </c>
    </row>
    <row r="52" spans="4:12" x14ac:dyDescent="0.25">
      <c r="D52" s="7">
        <v>41963</v>
      </c>
      <c r="E52" t="s">
        <v>7</v>
      </c>
      <c r="F52" s="5">
        <v>0.39583333333333331</v>
      </c>
      <c r="G52">
        <v>33.39431369677186</v>
      </c>
      <c r="H52">
        <v>81.725716637447476</v>
      </c>
      <c r="I52">
        <v>10.156279569491744</v>
      </c>
      <c r="J52">
        <v>33.194283558987081</v>
      </c>
      <c r="K52">
        <v>483</v>
      </c>
      <c r="L52">
        <v>52.290351663602372</v>
      </c>
    </row>
    <row r="53" spans="4:12" x14ac:dyDescent="0.25">
      <c r="D53" s="7">
        <v>41963</v>
      </c>
      <c r="E53" t="s">
        <v>7</v>
      </c>
      <c r="F53" s="5">
        <v>0.39814814814814814</v>
      </c>
      <c r="G53">
        <v>25.789468945004046</v>
      </c>
      <c r="H53">
        <v>77.992991846986115</v>
      </c>
      <c r="I53">
        <v>10.245735268108547</v>
      </c>
      <c r="J53">
        <v>13.800569134764373</v>
      </c>
      <c r="K53">
        <v>324</v>
      </c>
      <c r="L53">
        <v>43.091484281107967</v>
      </c>
    </row>
    <row r="54" spans="4:12" x14ac:dyDescent="0.25">
      <c r="D54" s="7">
        <v>41963</v>
      </c>
      <c r="E54" t="s">
        <v>7</v>
      </c>
      <c r="F54" s="5">
        <v>0.40046296296296297</v>
      </c>
      <c r="G54">
        <v>64.527580211870372</v>
      </c>
      <c r="H54">
        <v>99.5567686855793</v>
      </c>
      <c r="I54">
        <v>51.608570036478341</v>
      </c>
      <c r="J54">
        <v>99.5567686855793</v>
      </c>
      <c r="K54">
        <v>120</v>
      </c>
      <c r="L54">
        <v>73.158475311744652</v>
      </c>
    </row>
    <row r="55" spans="4:12" x14ac:dyDescent="0.25">
      <c r="D55" s="7">
        <v>41963</v>
      </c>
      <c r="E55" t="s">
        <v>7</v>
      </c>
      <c r="F55" s="5">
        <v>0.40277777777777773</v>
      </c>
      <c r="G55">
        <v>85.276007605716586</v>
      </c>
      <c r="H55">
        <v>85.276007605716586</v>
      </c>
      <c r="I55">
        <v>15.026475698687136</v>
      </c>
      <c r="J55">
        <v>76.36846920941025</v>
      </c>
      <c r="K55">
        <v>170</v>
      </c>
      <c r="L55">
        <v>48.125584760050785</v>
      </c>
    </row>
    <row r="56" spans="4:12" x14ac:dyDescent="0.25">
      <c r="D56" s="7">
        <v>41963</v>
      </c>
      <c r="E56" t="s">
        <v>7</v>
      </c>
      <c r="F56" s="5">
        <v>0.40509259259259256</v>
      </c>
      <c r="G56">
        <v>97.150491806678474</v>
      </c>
      <c r="H56">
        <v>97.150491806678474</v>
      </c>
      <c r="I56">
        <v>10.29350571334362</v>
      </c>
      <c r="J56">
        <v>85.556440195068717</v>
      </c>
      <c r="K56">
        <v>386</v>
      </c>
      <c r="L56">
        <v>71.956752049809054</v>
      </c>
    </row>
    <row r="57" spans="4:12" x14ac:dyDescent="0.25">
      <c r="D57" s="7">
        <v>41963</v>
      </c>
      <c r="E57" t="s">
        <v>7</v>
      </c>
      <c r="F57" s="5">
        <v>0.40740740740740744</v>
      </c>
      <c r="G57">
        <v>2.0313015440478921</v>
      </c>
      <c r="H57">
        <v>85.671890410594642</v>
      </c>
      <c r="I57">
        <v>2.0313015440478921</v>
      </c>
      <c r="J57">
        <v>62.784806685522199</v>
      </c>
      <c r="K57">
        <v>240</v>
      </c>
      <c r="L57">
        <v>43.507012530171778</v>
      </c>
    </row>
    <row r="58" spans="4:12" x14ac:dyDescent="0.25">
      <c r="D58" s="7">
        <v>41963</v>
      </c>
      <c r="E58" t="s">
        <v>7</v>
      </c>
      <c r="F58" s="5">
        <v>0.40972222222222227</v>
      </c>
      <c r="G58">
        <v>63.756989128887653</v>
      </c>
      <c r="H58">
        <v>63.756989128887653</v>
      </c>
      <c r="I58">
        <v>15.450007352046669</v>
      </c>
      <c r="J58">
        <v>33.672235440462828</v>
      </c>
      <c r="K58">
        <v>201</v>
      </c>
      <c r="L58">
        <v>30.106307542998696</v>
      </c>
    </row>
    <row r="59" spans="4:12" x14ac:dyDescent="0.25">
      <c r="D59" s="7">
        <v>41963</v>
      </c>
      <c r="E59" t="s">
        <v>7</v>
      </c>
      <c r="F59" s="5">
        <v>0.41203703703703703</v>
      </c>
      <c r="G59">
        <v>80.43427427764982</v>
      </c>
      <c r="H59">
        <v>80.43427427764982</v>
      </c>
      <c r="I59">
        <v>4.9022266874089837</v>
      </c>
      <c r="J59">
        <v>53.823961294256151</v>
      </c>
      <c r="K59">
        <v>281</v>
      </c>
      <c r="L59">
        <v>50.960388957121779</v>
      </c>
    </row>
    <row r="60" spans="4:12" x14ac:dyDescent="0.25">
      <c r="D60" s="7">
        <v>41963</v>
      </c>
      <c r="E60" t="s">
        <v>7</v>
      </c>
      <c r="F60" s="5">
        <v>0.41435185185185186</v>
      </c>
      <c r="G60">
        <v>18.431676272302866</v>
      </c>
      <c r="H60">
        <v>90.918394643813372</v>
      </c>
      <c r="I60">
        <v>18.431676272302866</v>
      </c>
      <c r="J60">
        <v>90.918394643813372</v>
      </c>
      <c r="K60">
        <v>237</v>
      </c>
      <c r="L60">
        <v>63.428692297738849</v>
      </c>
    </row>
    <row r="61" spans="4:12" x14ac:dyDescent="0.25">
      <c r="D61" s="7">
        <v>41963</v>
      </c>
      <c r="E61" t="s">
        <v>7</v>
      </c>
      <c r="F61" s="5">
        <v>0.41666666666666669</v>
      </c>
      <c r="G61">
        <v>67.158592748455703</v>
      </c>
      <c r="H61">
        <v>68.207551934756339</v>
      </c>
      <c r="I61">
        <v>36.198934470303357</v>
      </c>
      <c r="J61">
        <v>68.207551934756339</v>
      </c>
      <c r="K61">
        <v>206</v>
      </c>
      <c r="L61">
        <v>56.954076653007348</v>
      </c>
    </row>
    <row r="62" spans="4:12" x14ac:dyDescent="0.25">
      <c r="D62" s="7">
        <v>41963</v>
      </c>
      <c r="E62" t="s">
        <v>7</v>
      </c>
      <c r="F62" s="5">
        <v>0.41898148148148145</v>
      </c>
      <c r="G62">
        <v>26.750871795229614</v>
      </c>
      <c r="H62">
        <v>94.875307776965201</v>
      </c>
      <c r="I62">
        <v>26.750871795229614</v>
      </c>
      <c r="J62">
        <v>94.875307776965201</v>
      </c>
      <c r="K62">
        <v>91</v>
      </c>
      <c r="L62">
        <v>81.400144615742775</v>
      </c>
    </row>
    <row r="63" spans="4:12" x14ac:dyDescent="0.25">
      <c r="D63" s="7">
        <v>41963</v>
      </c>
      <c r="E63" t="s">
        <v>7</v>
      </c>
      <c r="F63" s="5">
        <v>0.42129629629629628</v>
      </c>
      <c r="G63">
        <v>22.491076006554067</v>
      </c>
      <c r="H63">
        <v>96.94278365932405</v>
      </c>
      <c r="I63">
        <v>11.636880529113114</v>
      </c>
      <c r="J63">
        <v>57.466689706780016</v>
      </c>
      <c r="K63">
        <v>199</v>
      </c>
      <c r="L63">
        <v>39.443584367745189</v>
      </c>
    </row>
    <row r="64" spans="4:12" x14ac:dyDescent="0.25">
      <c r="D64" s="7">
        <v>41963</v>
      </c>
      <c r="E64" t="s">
        <v>7</v>
      </c>
      <c r="F64" s="5">
        <v>0.4236111111111111</v>
      </c>
      <c r="G64">
        <v>95.662528043612838</v>
      </c>
      <c r="H64">
        <v>95.662528043612838</v>
      </c>
      <c r="I64">
        <v>19.956314936280251</v>
      </c>
      <c r="J64">
        <v>19.956314936280251</v>
      </c>
      <c r="K64">
        <v>87</v>
      </c>
      <c r="L64">
        <v>80.368333766451002</v>
      </c>
    </row>
    <row r="65" spans="4:12" x14ac:dyDescent="0.25">
      <c r="D65" s="7">
        <v>41963</v>
      </c>
      <c r="E65" t="s">
        <v>7</v>
      </c>
      <c r="F65" s="5">
        <v>0.42592592592592587</v>
      </c>
      <c r="G65">
        <v>97.258370998315513</v>
      </c>
      <c r="H65">
        <v>97.578186076134443</v>
      </c>
      <c r="I65">
        <v>3.5758239217102528</v>
      </c>
      <c r="J65">
        <v>3.5758239217102528</v>
      </c>
      <c r="K65">
        <v>333</v>
      </c>
      <c r="L65">
        <v>65.259461270438294</v>
      </c>
    </row>
    <row r="66" spans="4:12" x14ac:dyDescent="0.25">
      <c r="D66" s="7">
        <v>41963</v>
      </c>
      <c r="E66" t="s">
        <v>7</v>
      </c>
      <c r="F66" s="5">
        <v>0.42824074074074076</v>
      </c>
      <c r="G66">
        <v>98.433726537041366</v>
      </c>
      <c r="H66">
        <v>98.433726537041366</v>
      </c>
      <c r="I66">
        <v>14.155646832659841</v>
      </c>
      <c r="J66">
        <v>57.483156793750823</v>
      </c>
      <c r="K66">
        <v>202</v>
      </c>
      <c r="L66">
        <v>57.724152974055912</v>
      </c>
    </row>
    <row r="67" spans="4:12" x14ac:dyDescent="0.25">
      <c r="D67" s="7">
        <v>41963</v>
      </c>
      <c r="E67" t="s">
        <v>7</v>
      </c>
      <c r="F67" s="5">
        <v>0.43055555555555558</v>
      </c>
      <c r="G67">
        <v>26.468116231262684</v>
      </c>
      <c r="H67">
        <v>91.490566171705723</v>
      </c>
      <c r="I67">
        <v>3.8979806937277317</v>
      </c>
      <c r="J67">
        <v>5.7911148061975837</v>
      </c>
      <c r="K67">
        <v>364</v>
      </c>
      <c r="L67">
        <v>39.628174520867802</v>
      </c>
    </row>
    <row r="68" spans="4:12" x14ac:dyDescent="0.25">
      <c r="D68" s="7">
        <v>41963</v>
      </c>
      <c r="E68" t="s">
        <v>7</v>
      </c>
      <c r="F68" s="5">
        <v>0.43287037037037041</v>
      </c>
      <c r="G68">
        <v>59.015062521211803</v>
      </c>
      <c r="H68">
        <v>90.105169569142163</v>
      </c>
      <c r="I68">
        <v>9.1391138499602675</v>
      </c>
      <c r="J68">
        <v>9.1391138499602675</v>
      </c>
      <c r="K68">
        <v>361</v>
      </c>
      <c r="L68">
        <v>47.481457997433367</v>
      </c>
    </row>
    <row r="69" spans="4:12" x14ac:dyDescent="0.25">
      <c r="D69" s="7">
        <v>41963</v>
      </c>
      <c r="E69" t="s">
        <v>7</v>
      </c>
      <c r="F69" s="5">
        <v>0.43518518518518517</v>
      </c>
      <c r="G69">
        <v>58.813769766129553</v>
      </c>
      <c r="H69">
        <v>93.836714886128902</v>
      </c>
      <c r="I69">
        <v>30.323431431315839</v>
      </c>
      <c r="J69">
        <v>76.920661074109375</v>
      </c>
      <c r="K69">
        <v>324</v>
      </c>
      <c r="L69">
        <v>70.634437663290925</v>
      </c>
    </row>
    <row r="70" spans="4:12" x14ac:dyDescent="0.25">
      <c r="D70" s="7">
        <v>41963</v>
      </c>
      <c r="E70" t="s">
        <v>7</v>
      </c>
      <c r="F70" s="5">
        <v>0.4375</v>
      </c>
      <c r="G70">
        <v>73.295720759779215</v>
      </c>
      <c r="H70">
        <v>73.295720759779215</v>
      </c>
      <c r="I70">
        <v>43.359995121136308</v>
      </c>
      <c r="J70">
        <v>51.855647680349648</v>
      </c>
      <c r="K70">
        <v>256</v>
      </c>
      <c r="L70">
        <v>58.732895751654723</v>
      </c>
    </row>
    <row r="71" spans="4:12" x14ac:dyDescent="0.25">
      <c r="D71" s="7">
        <v>41963</v>
      </c>
      <c r="E71" t="s">
        <v>7</v>
      </c>
      <c r="F71" s="5">
        <v>0.43981481481481483</v>
      </c>
      <c r="G71">
        <v>19.8062963783741</v>
      </c>
      <c r="H71">
        <v>92.966610146686435</v>
      </c>
      <c r="I71">
        <v>13.095026020891964</v>
      </c>
      <c r="J71">
        <v>39.737423928454518</v>
      </c>
      <c r="K71">
        <v>380</v>
      </c>
      <c r="L71">
        <v>45.572139217003588</v>
      </c>
    </row>
    <row r="72" spans="4:12" x14ac:dyDescent="0.25">
      <c r="D72" s="7">
        <v>41963</v>
      </c>
      <c r="E72" t="s">
        <v>7</v>
      </c>
      <c r="F72" s="5">
        <v>0.44212962962962959</v>
      </c>
      <c r="G72">
        <v>92.207184783183038</v>
      </c>
      <c r="H72">
        <v>99.232404469512403</v>
      </c>
      <c r="I72">
        <v>13.896325579844415</v>
      </c>
      <c r="J72">
        <v>30.094922473654151</v>
      </c>
      <c r="K72">
        <v>334</v>
      </c>
      <c r="L72">
        <v>49.547469897842603</v>
      </c>
    </row>
    <row r="73" spans="4:12" x14ac:dyDescent="0.25">
      <c r="D73" s="7">
        <v>41963</v>
      </c>
      <c r="E73" t="s">
        <v>7</v>
      </c>
      <c r="F73" s="5">
        <v>0.44444444444444442</v>
      </c>
      <c r="G73">
        <v>7.4199706548824906</v>
      </c>
      <c r="H73">
        <v>58.63982958253473</v>
      </c>
      <c r="I73">
        <v>7.4199706548824906</v>
      </c>
      <c r="J73">
        <v>46.143483463674784</v>
      </c>
      <c r="K73">
        <v>192</v>
      </c>
      <c r="L73">
        <v>36.971216832534992</v>
      </c>
    </row>
    <row r="74" spans="4:12" x14ac:dyDescent="0.25">
      <c r="D74" s="7">
        <v>41963</v>
      </c>
      <c r="E74" t="s">
        <v>7</v>
      </c>
      <c r="F74" s="5">
        <v>0.44675925925925924</v>
      </c>
      <c r="G74">
        <v>74.32407820597291</v>
      </c>
      <c r="H74">
        <v>92.083359346725047</v>
      </c>
      <c r="I74">
        <v>12.478102650493383</v>
      </c>
      <c r="J74">
        <v>12.478102650493383</v>
      </c>
      <c r="K74">
        <v>228</v>
      </c>
      <c r="L74">
        <v>62.531435349037089</v>
      </c>
    </row>
    <row r="75" spans="4:12" x14ac:dyDescent="0.25">
      <c r="D75" s="7">
        <v>41963</v>
      </c>
      <c r="E75" t="s">
        <v>7</v>
      </c>
      <c r="F75" s="5">
        <v>0.44907407407407413</v>
      </c>
      <c r="G75">
        <v>25.976910814642906</v>
      </c>
      <c r="H75">
        <v>83.582727494649589</v>
      </c>
      <c r="I75">
        <v>2.5610822252929211</v>
      </c>
      <c r="J75">
        <v>83.582727494649589</v>
      </c>
      <c r="K75">
        <v>223</v>
      </c>
      <c r="L75">
        <v>28.843359651895984</v>
      </c>
    </row>
    <row r="76" spans="4:12" x14ac:dyDescent="0.25">
      <c r="D76" s="7">
        <v>41963</v>
      </c>
      <c r="E76" t="s">
        <v>7</v>
      </c>
      <c r="F76" s="5">
        <v>0.4513888888888889</v>
      </c>
      <c r="G76">
        <v>55.79824538435787</v>
      </c>
      <c r="H76">
        <v>55.79824538435787</v>
      </c>
      <c r="I76">
        <v>55.79824538435787</v>
      </c>
      <c r="J76">
        <v>55.79824538435787</v>
      </c>
      <c r="K76">
        <v>75</v>
      </c>
      <c r="L76">
        <v>55.79824538435787</v>
      </c>
    </row>
    <row r="77" spans="4:12" x14ac:dyDescent="0.25">
      <c r="D77" s="7">
        <v>41963</v>
      </c>
      <c r="E77" t="s">
        <v>7</v>
      </c>
      <c r="F77" s="5">
        <v>0.45370370370370372</v>
      </c>
      <c r="G77">
        <v>0.29050696175545454</v>
      </c>
      <c r="H77">
        <v>80.881627276539803</v>
      </c>
      <c r="I77">
        <v>0.29050696175545454</v>
      </c>
      <c r="J77">
        <v>80.881627276539803</v>
      </c>
      <c r="K77">
        <v>64</v>
      </c>
      <c r="L77">
        <v>73.32620974702877</v>
      </c>
    </row>
    <row r="78" spans="4:12" x14ac:dyDescent="0.25">
      <c r="D78" s="7">
        <v>41963</v>
      </c>
      <c r="E78" t="s">
        <v>7</v>
      </c>
      <c r="F78" s="5">
        <v>0.45601851851851855</v>
      </c>
      <c r="G78">
        <v>67.936593084596097</v>
      </c>
      <c r="H78">
        <v>98.526225960813463</v>
      </c>
      <c r="I78">
        <v>16.284350352361798</v>
      </c>
      <c r="J78">
        <v>16.284350352361798</v>
      </c>
      <c r="K78">
        <v>124</v>
      </c>
      <c r="L78">
        <v>59.236351912465665</v>
      </c>
    </row>
    <row r="79" spans="4:12" x14ac:dyDescent="0.25">
      <c r="D79" s="7">
        <v>41963</v>
      </c>
      <c r="E79" t="s">
        <v>7</v>
      </c>
      <c r="F79" s="5">
        <v>0.45833333333333331</v>
      </c>
      <c r="G79">
        <v>53.953248937614262</v>
      </c>
      <c r="H79">
        <v>94.204813544638455</v>
      </c>
      <c r="I79">
        <v>25.792789342813194</v>
      </c>
      <c r="J79">
        <v>94.204813544638455</v>
      </c>
      <c r="K79">
        <v>345</v>
      </c>
      <c r="L79">
        <v>66.825275306616902</v>
      </c>
    </row>
    <row r="80" spans="4:12" x14ac:dyDescent="0.25">
      <c r="D80" s="7">
        <v>41963</v>
      </c>
      <c r="E80" t="s">
        <v>7</v>
      </c>
      <c r="F80" s="5">
        <v>0.46064814814814814</v>
      </c>
      <c r="G80">
        <v>44.029339565895498</v>
      </c>
      <c r="H80">
        <v>59.253557212650776</v>
      </c>
      <c r="I80">
        <v>44.029339565895498</v>
      </c>
      <c r="J80">
        <v>59.253557212650776</v>
      </c>
      <c r="K80">
        <v>130</v>
      </c>
      <c r="L80">
        <v>50.120834217299347</v>
      </c>
    </row>
    <row r="81" spans="4:12" x14ac:dyDescent="0.25">
      <c r="D81" s="7">
        <v>41963</v>
      </c>
      <c r="E81" t="s">
        <v>7</v>
      </c>
      <c r="F81" s="5">
        <v>0.46296296296296297</v>
      </c>
      <c r="G81">
        <v>17.296211142092943</v>
      </c>
      <c r="H81">
        <v>93.638771725818515</v>
      </c>
      <c r="I81">
        <v>17.296211142092943</v>
      </c>
      <c r="J81">
        <v>42.896226048469543</v>
      </c>
      <c r="K81">
        <v>219</v>
      </c>
      <c r="L81">
        <v>43.970242954288786</v>
      </c>
    </row>
    <row r="82" spans="4:12" x14ac:dyDescent="0.25">
      <c r="D82" s="7">
        <v>41963</v>
      </c>
      <c r="E82" t="s">
        <v>7</v>
      </c>
      <c r="F82" s="5">
        <v>0.46527777777777773</v>
      </c>
      <c r="G82">
        <v>7.4965125881135464</v>
      </c>
      <c r="H82">
        <v>98.234138987027109</v>
      </c>
      <c r="I82">
        <v>5.9163749450817704</v>
      </c>
      <c r="J82">
        <v>98.234138987027109</v>
      </c>
      <c r="K82">
        <v>448</v>
      </c>
      <c r="L82">
        <v>45.387264494586688</v>
      </c>
    </row>
    <row r="83" spans="4:12" x14ac:dyDescent="0.25">
      <c r="D83" s="7">
        <v>41963</v>
      </c>
      <c r="E83" t="s">
        <v>7</v>
      </c>
      <c r="F83" s="5">
        <v>0.46759259259259256</v>
      </c>
      <c r="G83">
        <v>89.151334227062762</v>
      </c>
      <c r="H83">
        <v>89.151334227062762</v>
      </c>
      <c r="I83">
        <v>1.3003427069634199</v>
      </c>
      <c r="J83">
        <v>7.1509947301819921</v>
      </c>
      <c r="K83">
        <v>272</v>
      </c>
      <c r="L83">
        <v>24.969551829374669</v>
      </c>
    </row>
    <row r="84" spans="4:12" x14ac:dyDescent="0.25">
      <c r="D84" s="7">
        <v>41963</v>
      </c>
      <c r="E84" t="s">
        <v>7</v>
      </c>
      <c r="F84" s="5">
        <v>0.46990740740740744</v>
      </c>
      <c r="G84">
        <v>98.946118308231235</v>
      </c>
      <c r="H84">
        <v>98.946118308231235</v>
      </c>
      <c r="I84">
        <v>14.247190277092159</v>
      </c>
      <c r="J84">
        <v>87.923861411400139</v>
      </c>
      <c r="K84">
        <v>210</v>
      </c>
      <c r="L84">
        <v>41.815987224579743</v>
      </c>
    </row>
    <row r="85" spans="4:12" x14ac:dyDescent="0.25">
      <c r="D85" s="7">
        <v>41963</v>
      </c>
      <c r="E85" t="s">
        <v>7</v>
      </c>
      <c r="F85" s="5">
        <v>0.47222222222222227</v>
      </c>
      <c r="G85">
        <v>72.721969266422093</v>
      </c>
      <c r="H85">
        <v>72.721969266422093</v>
      </c>
      <c r="I85">
        <v>2.7092820266261697</v>
      </c>
      <c r="J85">
        <v>2.7092820266261697</v>
      </c>
      <c r="K85">
        <v>228</v>
      </c>
      <c r="L85">
        <v>47.739034292406579</v>
      </c>
    </row>
    <row r="86" spans="4:12" x14ac:dyDescent="0.25">
      <c r="D86" s="7">
        <v>41963</v>
      </c>
      <c r="E86" t="s">
        <v>7</v>
      </c>
      <c r="F86" s="5">
        <v>0.47453703703703703</v>
      </c>
      <c r="G86">
        <v>79.627550137229264</v>
      </c>
      <c r="H86">
        <v>98.720924160443246</v>
      </c>
      <c r="I86">
        <v>13.40205289889127</v>
      </c>
      <c r="J86">
        <v>13.40205289889127</v>
      </c>
      <c r="K86">
        <v>378</v>
      </c>
      <c r="L86">
        <v>36.412597060814576</v>
      </c>
    </row>
    <row r="87" spans="4:12" x14ac:dyDescent="0.25">
      <c r="D87" s="7">
        <v>41963</v>
      </c>
      <c r="E87" t="s">
        <v>7</v>
      </c>
      <c r="F87" s="5">
        <v>0.47685185185185186</v>
      </c>
      <c r="G87">
        <v>89.816422713920474</v>
      </c>
      <c r="H87">
        <v>89.816422713920474</v>
      </c>
      <c r="I87">
        <v>15.898762713186443</v>
      </c>
      <c r="J87">
        <v>15.898762713186443</v>
      </c>
      <c r="K87">
        <v>120</v>
      </c>
      <c r="L87">
        <v>50.393670713528991</v>
      </c>
    </row>
    <row r="88" spans="4:12" x14ac:dyDescent="0.25">
      <c r="D88" s="7">
        <v>41963</v>
      </c>
      <c r="E88" t="s">
        <v>7</v>
      </c>
      <c r="F88" s="5">
        <v>0.47916666666666669</v>
      </c>
      <c r="G88">
        <v>82.937111705541611</v>
      </c>
      <c r="H88">
        <v>82.937111705541611</v>
      </c>
      <c r="I88">
        <v>82.937111705541611</v>
      </c>
      <c r="J88">
        <v>82.937111705541611</v>
      </c>
      <c r="K88">
        <v>6</v>
      </c>
      <c r="L88">
        <v>82.937111705541611</v>
      </c>
    </row>
    <row r="89" spans="4:12" x14ac:dyDescent="0.25">
      <c r="D89" s="7">
        <v>41963</v>
      </c>
      <c r="E89" t="s">
        <v>7</v>
      </c>
      <c r="F89" s="5">
        <v>0.48148148148148145</v>
      </c>
      <c r="G89">
        <v>30.670375726185739</v>
      </c>
      <c r="H89">
        <v>80.799014773219824</v>
      </c>
      <c r="I89">
        <v>30.670375726185739</v>
      </c>
      <c r="J89">
        <v>67.929768492467701</v>
      </c>
      <c r="K89">
        <v>178</v>
      </c>
      <c r="L89">
        <v>62.88740039107212</v>
      </c>
    </row>
    <row r="90" spans="4:12" x14ac:dyDescent="0.25">
      <c r="D90" s="7">
        <v>41963</v>
      </c>
      <c r="E90" t="s">
        <v>7</v>
      </c>
      <c r="F90" s="5">
        <v>0.48379629629629628</v>
      </c>
      <c r="G90">
        <v>39.639002550393343</v>
      </c>
      <c r="H90">
        <v>86.560904537327588</v>
      </c>
      <c r="I90">
        <v>39.639002550393343</v>
      </c>
      <c r="J90">
        <v>86.560904537327588</v>
      </c>
      <c r="K90">
        <v>266</v>
      </c>
      <c r="L90">
        <v>56.895740037868009</v>
      </c>
    </row>
    <row r="91" spans="4:12" x14ac:dyDescent="0.25">
      <c r="D91" s="7">
        <v>41963</v>
      </c>
      <c r="E91" t="s">
        <v>7</v>
      </c>
      <c r="F91" s="5">
        <v>0.4861111111111111</v>
      </c>
      <c r="G91">
        <v>28.934534615837038</v>
      </c>
      <c r="H91">
        <v>28.934534615837038</v>
      </c>
      <c r="I91">
        <v>19.389213947579265</v>
      </c>
      <c r="J91">
        <v>19.389213947579265</v>
      </c>
      <c r="K91">
        <v>113</v>
      </c>
      <c r="L91">
        <v>24.536370679909215</v>
      </c>
    </row>
    <row r="92" spans="4:12" x14ac:dyDescent="0.25">
      <c r="D92" s="7">
        <v>41963</v>
      </c>
      <c r="E92" t="s">
        <v>7</v>
      </c>
      <c r="F92" s="5">
        <v>0.48842592592592587</v>
      </c>
      <c r="G92">
        <v>22.666196268983185</v>
      </c>
      <c r="H92">
        <v>22.666196268983185</v>
      </c>
      <c r="I92">
        <v>9.2840262921527028</v>
      </c>
      <c r="J92">
        <v>9.2840262921527028</v>
      </c>
      <c r="K92">
        <v>145</v>
      </c>
      <c r="L92">
        <v>15.098348420016981</v>
      </c>
    </row>
    <row r="93" spans="4:12" x14ac:dyDescent="0.25">
      <c r="D93" s="7">
        <v>41963</v>
      </c>
      <c r="E93" t="s">
        <v>7</v>
      </c>
      <c r="F93" s="5">
        <v>0.49074074074074076</v>
      </c>
      <c r="G93">
        <v>49.020153633318841</v>
      </c>
      <c r="H93">
        <v>96.591912675648928</v>
      </c>
      <c r="I93">
        <v>49.020153633318841</v>
      </c>
      <c r="J93">
        <v>96.591912675648928</v>
      </c>
      <c r="K93">
        <v>111</v>
      </c>
      <c r="L93">
        <v>54.163046502759933</v>
      </c>
    </row>
    <row r="94" spans="4:12" x14ac:dyDescent="0.25">
      <c r="D94" s="7">
        <v>41963</v>
      </c>
      <c r="E94" t="s">
        <v>7</v>
      </c>
      <c r="F94" s="5">
        <v>0.49305555555555558</v>
      </c>
      <c r="G94">
        <v>12.751771486364305</v>
      </c>
      <c r="H94">
        <v>29.583936440758407</v>
      </c>
      <c r="I94">
        <v>12.751771486364305</v>
      </c>
      <c r="J94">
        <v>16.560578858479857</v>
      </c>
      <c r="K94">
        <v>133</v>
      </c>
      <c r="L94">
        <v>24.073201053446734</v>
      </c>
    </row>
    <row r="95" spans="4:12" x14ac:dyDescent="0.25">
      <c r="D95" s="7">
        <v>41963</v>
      </c>
      <c r="E95" t="s">
        <v>7</v>
      </c>
      <c r="F95" s="5">
        <v>0.49537037037037041</v>
      </c>
      <c r="G95">
        <v>37.527488521300256</v>
      </c>
      <c r="H95">
        <v>57.254412490874529</v>
      </c>
      <c r="I95">
        <v>37.527488521300256</v>
      </c>
      <c r="J95">
        <v>57.143270270898938</v>
      </c>
      <c r="K95">
        <v>166</v>
      </c>
      <c r="L95">
        <v>49.248151692803049</v>
      </c>
    </row>
    <row r="96" spans="4:12" x14ac:dyDescent="0.25">
      <c r="D96" s="7">
        <v>41963</v>
      </c>
      <c r="E96" t="s">
        <v>7</v>
      </c>
      <c r="F96" s="5">
        <v>0.49768518518518517</v>
      </c>
      <c r="G96">
        <v>26.058417721651495</v>
      </c>
      <c r="H96">
        <v>26.058417721651495</v>
      </c>
      <c r="I96">
        <v>5.6096944259479642</v>
      </c>
      <c r="J96">
        <v>8.5848396876826882</v>
      </c>
      <c r="K96">
        <v>126</v>
      </c>
      <c r="L96">
        <v>13.104702393701743</v>
      </c>
    </row>
    <row r="97" spans="4:12" x14ac:dyDescent="0.25">
      <c r="D97" s="7">
        <v>41963</v>
      </c>
      <c r="E97" t="s">
        <v>7</v>
      </c>
      <c r="F97" s="5">
        <v>0.5</v>
      </c>
      <c r="G97">
        <v>63.575255684554577</v>
      </c>
      <c r="H97">
        <v>85.55394196882844</v>
      </c>
      <c r="I97">
        <v>18.554717535153031</v>
      </c>
      <c r="J97">
        <v>85.55394196882844</v>
      </c>
      <c r="K97">
        <v>299</v>
      </c>
      <c r="L97">
        <v>57.036371417592797</v>
      </c>
    </row>
    <row r="98" spans="4:12" x14ac:dyDescent="0.25">
      <c r="D98" s="7">
        <v>41963</v>
      </c>
      <c r="E98" t="s">
        <v>7</v>
      </c>
      <c r="F98" s="5">
        <v>0.50231481481481477</v>
      </c>
      <c r="G98">
        <v>53.974006627686322</v>
      </c>
      <c r="H98">
        <v>73.528473335318267</v>
      </c>
      <c r="I98">
        <v>29.942040774039924</v>
      </c>
      <c r="J98">
        <v>73.528473335318267</v>
      </c>
      <c r="K98">
        <v>250</v>
      </c>
      <c r="L98">
        <v>54.824066549912096</v>
      </c>
    </row>
    <row r="99" spans="4:12" x14ac:dyDescent="0.25">
      <c r="D99" s="7">
        <v>41963</v>
      </c>
      <c r="E99" t="s">
        <v>7</v>
      </c>
      <c r="F99" s="5">
        <v>0.50462962962962965</v>
      </c>
      <c r="G99">
        <v>41.777836624532938</v>
      </c>
      <c r="H99">
        <v>45.307118492200971</v>
      </c>
      <c r="I99">
        <v>30.461385473608971</v>
      </c>
      <c r="J99">
        <v>45.307118492200971</v>
      </c>
      <c r="K99">
        <v>148</v>
      </c>
      <c r="L99">
        <v>39.697042776812872</v>
      </c>
    </row>
    <row r="100" spans="4:12" x14ac:dyDescent="0.25">
      <c r="D100" s="7">
        <v>41963</v>
      </c>
      <c r="E100" t="s">
        <v>7</v>
      </c>
      <c r="F100" s="5">
        <v>0.50694444444444442</v>
      </c>
      <c r="G100">
        <v>7.2151768254116178</v>
      </c>
      <c r="H100">
        <v>72.989829466678202</v>
      </c>
      <c r="I100">
        <v>7.2151768254116178</v>
      </c>
      <c r="J100">
        <v>72.989829466678202</v>
      </c>
      <c r="K100">
        <v>71</v>
      </c>
      <c r="L100">
        <v>41.492108483536455</v>
      </c>
    </row>
    <row r="101" spans="4:12" x14ac:dyDescent="0.25">
      <c r="D101" s="7">
        <v>41963</v>
      </c>
      <c r="E101" t="s">
        <v>7</v>
      </c>
      <c r="F101" s="5">
        <v>0.50925925925925919</v>
      </c>
      <c r="G101">
        <v>9.61754503659904</v>
      </c>
      <c r="H101">
        <v>63.218304049223661</v>
      </c>
      <c r="I101">
        <v>9.61754503659904</v>
      </c>
      <c r="J101">
        <v>50.571401347406209</v>
      </c>
      <c r="K101">
        <v>216</v>
      </c>
      <c r="L101">
        <v>35.553698769460119</v>
      </c>
    </row>
    <row r="102" spans="4:12" x14ac:dyDescent="0.25">
      <c r="D102" s="7">
        <v>41963</v>
      </c>
      <c r="E102" t="s">
        <v>7</v>
      </c>
      <c r="F102" s="5">
        <v>0.51388888888888895</v>
      </c>
      <c r="G102">
        <v>23.110453365370631</v>
      </c>
      <c r="H102">
        <v>23.110453365370631</v>
      </c>
      <c r="I102">
        <v>1.4373892219737172</v>
      </c>
      <c r="J102">
        <v>1.4373892219737172</v>
      </c>
      <c r="K102">
        <v>145</v>
      </c>
      <c r="L102">
        <v>17.971713299830927</v>
      </c>
    </row>
    <row r="103" spans="4:12" x14ac:dyDescent="0.25">
      <c r="D103" s="7">
        <v>41963</v>
      </c>
      <c r="E103" t="s">
        <v>7</v>
      </c>
      <c r="F103" s="5">
        <v>0.51620370370370372</v>
      </c>
      <c r="G103">
        <v>88.515925034880638</v>
      </c>
      <c r="H103">
        <v>88.515925034880638</v>
      </c>
      <c r="I103">
        <v>12.750705052167177</v>
      </c>
      <c r="J103">
        <v>12.750705052167177</v>
      </c>
      <c r="K103">
        <v>292</v>
      </c>
      <c r="L103">
        <v>38.405612844986564</v>
      </c>
    </row>
    <row r="104" spans="4:12" x14ac:dyDescent="0.25">
      <c r="D104" s="7">
        <v>41963</v>
      </c>
      <c r="E104" t="s">
        <v>7</v>
      </c>
      <c r="F104" s="5">
        <v>0.51851851851851849</v>
      </c>
      <c r="G104">
        <v>86.973404558375478</v>
      </c>
      <c r="H104">
        <v>86.973404558375478</v>
      </c>
      <c r="I104">
        <v>5.0562816206365824</v>
      </c>
      <c r="J104">
        <v>5.0562816206365824</v>
      </c>
      <c r="K104">
        <v>113</v>
      </c>
      <c r="L104">
        <v>51.021654220232001</v>
      </c>
    </row>
    <row r="105" spans="4:12" x14ac:dyDescent="0.25">
      <c r="D105" s="7">
        <v>41963</v>
      </c>
      <c r="E105" t="s">
        <v>7</v>
      </c>
      <c r="F105" s="5">
        <v>0.52083333333333337</v>
      </c>
      <c r="G105">
        <v>91.181345423683524</v>
      </c>
      <c r="H105">
        <v>91.181345423683524</v>
      </c>
      <c r="I105">
        <v>91.181345423683524</v>
      </c>
      <c r="J105">
        <v>91.181345423683524</v>
      </c>
      <c r="K105">
        <v>4</v>
      </c>
      <c r="L105">
        <v>91.181345423683524</v>
      </c>
    </row>
    <row r="106" spans="4:12" x14ac:dyDescent="0.25">
      <c r="D106" s="7">
        <v>41963</v>
      </c>
      <c r="E106" t="s">
        <v>7</v>
      </c>
      <c r="F106" s="5">
        <v>0.52314814814814814</v>
      </c>
      <c r="G106">
        <v>26.554906903766096</v>
      </c>
      <c r="H106">
        <v>47.912445664405823</v>
      </c>
      <c r="I106">
        <v>26.554906903766096</v>
      </c>
      <c r="J106">
        <v>47.912445664405823</v>
      </c>
      <c r="K106">
        <v>78</v>
      </c>
      <c r="L106">
        <v>42.959314301454775</v>
      </c>
    </row>
    <row r="107" spans="4:12" x14ac:dyDescent="0.25">
      <c r="D107" s="7">
        <v>41963</v>
      </c>
      <c r="E107" t="s">
        <v>7</v>
      </c>
      <c r="F107" s="5">
        <v>0.52546296296296291</v>
      </c>
      <c r="G107">
        <v>80.859278235584497</v>
      </c>
      <c r="H107">
        <v>97.398410714231431</v>
      </c>
      <c r="I107">
        <v>15.807433985173702</v>
      </c>
      <c r="J107">
        <v>67.080355435609818</v>
      </c>
      <c r="K107">
        <v>540</v>
      </c>
      <c r="L107">
        <v>58.801421283278614</v>
      </c>
    </row>
    <row r="108" spans="4:12" x14ac:dyDescent="0.25">
      <c r="D108" s="7">
        <v>41963</v>
      </c>
      <c r="E108" t="s">
        <v>7</v>
      </c>
      <c r="F108" s="5">
        <v>0.52777777777777779</v>
      </c>
      <c r="G108">
        <v>99.287806870415807</v>
      </c>
      <c r="H108">
        <v>99.287806870415807</v>
      </c>
      <c r="I108">
        <v>1.9088336499407887</v>
      </c>
      <c r="J108">
        <v>10.70702166762203</v>
      </c>
      <c r="K108">
        <v>299</v>
      </c>
      <c r="L108">
        <v>70.902219412374905</v>
      </c>
    </row>
    <row r="109" spans="4:12" x14ac:dyDescent="0.25">
      <c r="D109" s="7">
        <v>41963</v>
      </c>
      <c r="E109" t="s">
        <v>7</v>
      </c>
      <c r="F109" s="5">
        <v>0.53009259259259256</v>
      </c>
      <c r="G109">
        <v>5.5156943388283253</v>
      </c>
      <c r="H109">
        <v>63.768313964828849</v>
      </c>
      <c r="I109">
        <v>5.5156943388283253</v>
      </c>
      <c r="J109">
        <v>22.443327563814819</v>
      </c>
      <c r="K109">
        <v>318</v>
      </c>
      <c r="L109">
        <v>30.059600931097336</v>
      </c>
    </row>
    <row r="110" spans="4:12" x14ac:dyDescent="0.25">
      <c r="D110" s="7">
        <v>41963</v>
      </c>
      <c r="E110" t="s">
        <v>7</v>
      </c>
      <c r="F110" s="5">
        <v>0.53240740740740744</v>
      </c>
      <c r="G110">
        <v>29.690756718628109</v>
      </c>
      <c r="H110">
        <v>62.855298281647265</v>
      </c>
      <c r="I110">
        <v>29.690756718628109</v>
      </c>
      <c r="J110">
        <v>62.855298281647265</v>
      </c>
      <c r="K110">
        <v>131</v>
      </c>
      <c r="L110">
        <v>40.323663173947224</v>
      </c>
    </row>
    <row r="111" spans="4:12" x14ac:dyDescent="0.25">
      <c r="D111" s="7">
        <v>41963</v>
      </c>
      <c r="E111" t="s">
        <v>7</v>
      </c>
      <c r="F111" s="5">
        <v>0.53472222222222221</v>
      </c>
      <c r="G111">
        <v>99.659691168926656</v>
      </c>
      <c r="H111">
        <v>99.659691168926656</v>
      </c>
      <c r="I111">
        <v>99.659691168926656</v>
      </c>
      <c r="J111">
        <v>99.659691168926656</v>
      </c>
      <c r="K111">
        <v>40</v>
      </c>
      <c r="L111">
        <v>99.659691168926656</v>
      </c>
    </row>
    <row r="112" spans="4:12" x14ac:dyDescent="0.25">
      <c r="D112" s="7">
        <v>41963</v>
      </c>
      <c r="E112" t="s">
        <v>7</v>
      </c>
      <c r="F112" s="5">
        <v>0.53703703703703709</v>
      </c>
      <c r="G112">
        <v>11.182999378070235</v>
      </c>
      <c r="H112">
        <v>68.43825257383287</v>
      </c>
      <c r="I112">
        <v>6.4833390759304166</v>
      </c>
      <c r="J112">
        <v>68.43825257383287</v>
      </c>
      <c r="K112">
        <v>347</v>
      </c>
      <c r="L112">
        <v>40.971110645287084</v>
      </c>
    </row>
    <row r="113" spans="4:12" x14ac:dyDescent="0.25">
      <c r="D113" s="7">
        <v>41963</v>
      </c>
      <c r="E113" t="s">
        <v>7</v>
      </c>
      <c r="F113" s="5">
        <v>0.53935185185185186</v>
      </c>
      <c r="G113">
        <v>47.038349346257746</v>
      </c>
      <c r="H113">
        <v>47.038349346257746</v>
      </c>
      <c r="I113">
        <v>1.304982858709991</v>
      </c>
      <c r="J113">
        <v>14.602137659676373</v>
      </c>
      <c r="K113">
        <v>318</v>
      </c>
      <c r="L113">
        <v>18.589020175302881</v>
      </c>
    </row>
    <row r="114" spans="4:12" x14ac:dyDescent="0.25">
      <c r="D114" s="7">
        <v>41963</v>
      </c>
      <c r="E114" t="s">
        <v>7</v>
      </c>
      <c r="F114" s="5">
        <v>0.54166666666666663</v>
      </c>
      <c r="G114">
        <v>40.603792364709079</v>
      </c>
      <c r="H114">
        <v>62.974816770292819</v>
      </c>
      <c r="I114">
        <v>40.603792364709079</v>
      </c>
      <c r="J114">
        <v>62.974816770292819</v>
      </c>
      <c r="K114">
        <v>98</v>
      </c>
      <c r="L114">
        <v>60.920334937126967</v>
      </c>
    </row>
    <row r="115" spans="4:12" x14ac:dyDescent="0.25">
      <c r="D115" s="7">
        <v>41963</v>
      </c>
      <c r="E115" t="s">
        <v>7</v>
      </c>
      <c r="F115" s="5">
        <v>0.54398148148148151</v>
      </c>
      <c r="G115">
        <v>35.809416580013931</v>
      </c>
      <c r="H115">
        <v>90.278619411401451</v>
      </c>
      <c r="I115">
        <v>13.97748941089958</v>
      </c>
      <c r="J115">
        <v>90.278619411401451</v>
      </c>
      <c r="K115">
        <v>160</v>
      </c>
      <c r="L115">
        <v>26.214891649142373</v>
      </c>
    </row>
    <row r="116" spans="4:12" x14ac:dyDescent="0.25">
      <c r="D116" s="7">
        <v>41963</v>
      </c>
      <c r="E116" t="s">
        <v>7</v>
      </c>
      <c r="F116" s="5">
        <v>0.54629629629629628</v>
      </c>
      <c r="G116">
        <v>86.371661932207644</v>
      </c>
      <c r="H116">
        <v>97.761935251764953</v>
      </c>
      <c r="I116">
        <v>13.039434188976884</v>
      </c>
      <c r="J116">
        <v>13.039434188976884</v>
      </c>
      <c r="K116">
        <v>189</v>
      </c>
      <c r="L116">
        <v>57.795880145329249</v>
      </c>
    </row>
    <row r="117" spans="4:12" x14ac:dyDescent="0.25">
      <c r="D117" s="7">
        <v>41963</v>
      </c>
      <c r="E117" t="s">
        <v>7</v>
      </c>
      <c r="F117" s="5">
        <v>0.54861111111111105</v>
      </c>
      <c r="G117">
        <v>53.211581008508801</v>
      </c>
      <c r="H117">
        <v>53.211581008508801</v>
      </c>
      <c r="I117">
        <v>7.3806745233014226</v>
      </c>
      <c r="J117">
        <v>7.3806745233014226</v>
      </c>
      <c r="K117">
        <v>448</v>
      </c>
      <c r="L117">
        <v>28.614957687074952</v>
      </c>
    </row>
    <row r="118" spans="4:12" x14ac:dyDescent="0.25">
      <c r="D118" s="7">
        <v>41963</v>
      </c>
      <c r="E118" t="s">
        <v>7</v>
      </c>
      <c r="F118" s="5">
        <v>0.55092592592592593</v>
      </c>
      <c r="G118">
        <v>33.458348177373409</v>
      </c>
      <c r="H118">
        <v>75.102731259539723</v>
      </c>
      <c r="I118">
        <v>1.0758267715573311</v>
      </c>
      <c r="J118">
        <v>38.543384871445596</v>
      </c>
      <c r="K118">
        <v>283</v>
      </c>
      <c r="L118">
        <v>36.654537012668939</v>
      </c>
    </row>
    <row r="119" spans="4:12" x14ac:dyDescent="0.25">
      <c r="D119" s="7">
        <v>41963</v>
      </c>
      <c r="E119" t="s">
        <v>7</v>
      </c>
      <c r="F119" s="5">
        <v>0.55324074074074081</v>
      </c>
      <c r="G119">
        <v>6.939631630666554</v>
      </c>
      <c r="H119">
        <v>95.779472426511347</v>
      </c>
      <c r="I119">
        <v>6.939631630666554</v>
      </c>
      <c r="J119">
        <v>23.288259748369455</v>
      </c>
      <c r="K119">
        <v>496</v>
      </c>
      <c r="L119">
        <v>63.306962733247104</v>
      </c>
    </row>
    <row r="120" spans="4:12" x14ac:dyDescent="0.25">
      <c r="D120" s="7">
        <v>41963</v>
      </c>
      <c r="E120" t="s">
        <v>7</v>
      </c>
      <c r="F120" s="5">
        <v>0.55555555555555558</v>
      </c>
      <c r="G120">
        <v>41.245862701907754</v>
      </c>
      <c r="H120">
        <v>87.149089947342873</v>
      </c>
      <c r="I120">
        <v>5.8190913172438741</v>
      </c>
      <c r="J120">
        <v>45.31915639527142</v>
      </c>
      <c r="K120">
        <v>299</v>
      </c>
      <c r="L120">
        <v>42.49967140913396</v>
      </c>
    </row>
    <row r="121" spans="4:12" x14ac:dyDescent="0.25">
      <c r="D121" s="7">
        <v>41963</v>
      </c>
      <c r="E121" t="s">
        <v>7</v>
      </c>
      <c r="F121" s="5">
        <v>0.55787037037037035</v>
      </c>
      <c r="G121">
        <v>78.17050430458039</v>
      </c>
      <c r="H121">
        <v>78.17050430458039</v>
      </c>
      <c r="I121">
        <v>3.1280246330425143</v>
      </c>
      <c r="J121">
        <v>13.408355135470629</v>
      </c>
      <c r="K121">
        <v>420</v>
      </c>
      <c r="L121">
        <v>38.506506713650502</v>
      </c>
    </row>
    <row r="122" spans="4:12" x14ac:dyDescent="0.25">
      <c r="D122" s="7">
        <v>41963</v>
      </c>
      <c r="E122" t="s">
        <v>7</v>
      </c>
      <c r="F122" s="5">
        <v>0.56018518518518523</v>
      </c>
      <c r="G122">
        <v>63.225991278886795</v>
      </c>
      <c r="H122">
        <v>63.225991278886795</v>
      </c>
      <c r="I122">
        <v>5.2345835836604238</v>
      </c>
      <c r="J122">
        <v>5.2345835836604238</v>
      </c>
      <c r="K122">
        <v>60</v>
      </c>
      <c r="L122">
        <v>16.832865122705698</v>
      </c>
    </row>
    <row r="123" spans="4:12" x14ac:dyDescent="0.25">
      <c r="D123" s="7">
        <v>41963</v>
      </c>
      <c r="E123" t="s">
        <v>7</v>
      </c>
      <c r="F123" s="5">
        <v>0.5625</v>
      </c>
      <c r="G123">
        <v>8.9074852177873254</v>
      </c>
      <c r="H123">
        <v>82.237146166153252</v>
      </c>
      <c r="I123">
        <v>8.9074852177873254</v>
      </c>
      <c r="J123">
        <v>62.124988832511008</v>
      </c>
      <c r="K123">
        <v>77</v>
      </c>
      <c r="L123">
        <v>21.515461244898571</v>
      </c>
    </row>
    <row r="124" spans="4:12" x14ac:dyDescent="0.25">
      <c r="D124" s="7">
        <v>41963</v>
      </c>
      <c r="E124" t="s">
        <v>7</v>
      </c>
      <c r="F124" s="5">
        <v>0.56481481481481477</v>
      </c>
      <c r="G124">
        <v>88.881532219238579</v>
      </c>
      <c r="H124">
        <v>91.518014296889305</v>
      </c>
      <c r="I124">
        <v>58.102064579725266</v>
      </c>
      <c r="J124">
        <v>72.756941360421479</v>
      </c>
      <c r="K124">
        <v>318</v>
      </c>
      <c r="L124">
        <v>77.949181360517684</v>
      </c>
    </row>
    <row r="125" spans="4:12" x14ac:dyDescent="0.25">
      <c r="D125" s="7">
        <v>41963</v>
      </c>
      <c r="E125" t="s">
        <v>7</v>
      </c>
      <c r="F125" s="5">
        <v>0.56712962962962965</v>
      </c>
      <c r="G125">
        <v>91.326820012181997</v>
      </c>
      <c r="H125">
        <v>91.326820012181997</v>
      </c>
      <c r="I125">
        <v>91.326820012181997</v>
      </c>
      <c r="J125">
        <v>91.326820012181997</v>
      </c>
      <c r="K125">
        <v>52</v>
      </c>
      <c r="L125">
        <v>91.326820012181997</v>
      </c>
    </row>
    <row r="126" spans="4:12" x14ac:dyDescent="0.25">
      <c r="D126" s="7">
        <v>41963</v>
      </c>
      <c r="E126" t="s">
        <v>7</v>
      </c>
      <c r="F126" s="5">
        <v>0.56944444444444442</v>
      </c>
      <c r="G126">
        <v>93.740666634403169</v>
      </c>
      <c r="H126">
        <v>93.740666634403169</v>
      </c>
      <c r="I126">
        <v>30.293848738074303</v>
      </c>
      <c r="J126">
        <v>30.293848738074303</v>
      </c>
      <c r="K126">
        <v>171</v>
      </c>
      <c r="L126">
        <v>46.803710977846421</v>
      </c>
    </row>
    <row r="127" spans="4:12" x14ac:dyDescent="0.25">
      <c r="D127" s="7">
        <v>41963</v>
      </c>
      <c r="E127" t="s">
        <v>7</v>
      </c>
      <c r="F127" s="5">
        <v>0.57175925925925919</v>
      </c>
      <c r="G127">
        <v>17.011160077527165</v>
      </c>
      <c r="H127">
        <v>42.054989212192595</v>
      </c>
      <c r="I127">
        <v>17.011160077527165</v>
      </c>
      <c r="J127">
        <v>42.054989212192595</v>
      </c>
      <c r="K127">
        <v>59</v>
      </c>
      <c r="L127">
        <v>32.29214056647556</v>
      </c>
    </row>
    <row r="128" spans="4:12" x14ac:dyDescent="0.25">
      <c r="D128" s="7">
        <v>41963</v>
      </c>
      <c r="E128" t="s">
        <v>7</v>
      </c>
      <c r="F128" s="5">
        <v>0.57407407407407407</v>
      </c>
      <c r="G128">
        <v>78.194203577004373</v>
      </c>
      <c r="H128">
        <v>78.194203577004373</v>
      </c>
      <c r="I128">
        <v>24.916148139163852</v>
      </c>
      <c r="J128">
        <v>31.817162712104619</v>
      </c>
      <c r="K128">
        <v>361</v>
      </c>
      <c r="L128">
        <v>44.294029317146112</v>
      </c>
    </row>
    <row r="129" spans="4:12" x14ac:dyDescent="0.25">
      <c r="D129" s="7">
        <v>41963</v>
      </c>
      <c r="E129" t="s">
        <v>7</v>
      </c>
      <c r="F129" s="5">
        <v>0.57638888888888895</v>
      </c>
      <c r="G129">
        <v>51.022521685808897</v>
      </c>
      <c r="H129">
        <v>75.253418972715735</v>
      </c>
      <c r="I129">
        <v>16.499535669572651</v>
      </c>
      <c r="J129">
        <v>75.253418972715735</v>
      </c>
      <c r="K129">
        <v>351</v>
      </c>
      <c r="L129">
        <v>47.444559490252445</v>
      </c>
    </row>
    <row r="130" spans="4:12" x14ac:dyDescent="0.25">
      <c r="D130" s="7">
        <v>41963</v>
      </c>
      <c r="E130" t="s">
        <v>7</v>
      </c>
      <c r="F130" s="5">
        <v>0.57870370370370372</v>
      </c>
      <c r="G130">
        <v>11.972987884655595</v>
      </c>
      <c r="H130">
        <v>41.137348231859505</v>
      </c>
      <c r="I130">
        <v>4.7928765183314681</v>
      </c>
      <c r="J130">
        <v>41.137348231859505</v>
      </c>
      <c r="K130">
        <v>113</v>
      </c>
      <c r="L130">
        <v>30.499905259842961</v>
      </c>
    </row>
    <row r="131" spans="4:12" x14ac:dyDescent="0.25">
      <c r="D131" s="7">
        <v>41963</v>
      </c>
      <c r="E131" t="s">
        <v>7</v>
      </c>
      <c r="F131" s="5">
        <v>0.58101851851851849</v>
      </c>
      <c r="G131">
        <v>76.907206303440034</v>
      </c>
      <c r="H131">
        <v>76.907206303440034</v>
      </c>
      <c r="I131">
        <v>67.916146782226861</v>
      </c>
      <c r="J131">
        <v>67.916146782226861</v>
      </c>
      <c r="K131">
        <v>98</v>
      </c>
      <c r="L131">
        <v>69.751056888596892</v>
      </c>
    </row>
    <row r="132" spans="4:12" x14ac:dyDescent="0.25">
      <c r="D132" s="7">
        <v>41963</v>
      </c>
      <c r="E132" t="s">
        <v>7</v>
      </c>
      <c r="F132" s="5">
        <v>0.58333333333333337</v>
      </c>
      <c r="G132">
        <v>21.122172707691789</v>
      </c>
      <c r="H132">
        <v>69.850572873838246</v>
      </c>
      <c r="I132">
        <v>2.4958784924820065</v>
      </c>
      <c r="J132">
        <v>2.4958784924820065</v>
      </c>
      <c r="K132">
        <v>323</v>
      </c>
      <c r="L132">
        <v>29.10040359794171</v>
      </c>
    </row>
    <row r="133" spans="4:12" x14ac:dyDescent="0.25">
      <c r="D133" s="7">
        <v>41963</v>
      </c>
      <c r="E133" t="s">
        <v>7</v>
      </c>
      <c r="F133" s="5">
        <v>0.58564814814814814</v>
      </c>
      <c r="G133">
        <v>47.438655933365226</v>
      </c>
      <c r="H133">
        <v>98.392590740695596</v>
      </c>
      <c r="I133">
        <v>20.386725757271051</v>
      </c>
      <c r="J133">
        <v>98.392590740695596</v>
      </c>
      <c r="K133">
        <v>214</v>
      </c>
      <c r="L133">
        <v>61.039062417286367</v>
      </c>
    </row>
    <row r="134" spans="4:12" x14ac:dyDescent="0.25">
      <c r="D134" s="7">
        <v>41963</v>
      </c>
      <c r="E134" t="s">
        <v>7</v>
      </c>
      <c r="F134" s="5">
        <v>0.58796296296296291</v>
      </c>
      <c r="G134">
        <v>95.074242819100618</v>
      </c>
      <c r="H134">
        <v>95.074242819100618</v>
      </c>
      <c r="I134">
        <v>28.494686586782336</v>
      </c>
      <c r="J134">
        <v>28.494686586782336</v>
      </c>
      <c r="K134">
        <v>89</v>
      </c>
      <c r="L134">
        <v>36.723620503136281</v>
      </c>
    </row>
    <row r="135" spans="4:12" x14ac:dyDescent="0.25">
      <c r="D135" s="7">
        <v>41963</v>
      </c>
      <c r="E135" t="s">
        <v>7</v>
      </c>
      <c r="F135" s="5">
        <v>0.59027777777777779</v>
      </c>
      <c r="G135">
        <v>37.518162955529988</v>
      </c>
      <c r="H135">
        <v>37.518162955529988</v>
      </c>
      <c r="I135">
        <v>37.518162955529988</v>
      </c>
      <c r="J135">
        <v>37.518162955529988</v>
      </c>
      <c r="K135">
        <v>20</v>
      </c>
      <c r="L135">
        <v>37.518162955529988</v>
      </c>
    </row>
    <row r="136" spans="4:12" x14ac:dyDescent="0.25">
      <c r="D136" s="7">
        <v>41963</v>
      </c>
      <c r="E136" t="s">
        <v>7</v>
      </c>
      <c r="F136" s="5">
        <v>0.59259259259259256</v>
      </c>
      <c r="G136">
        <v>6.6834663273766637</v>
      </c>
      <c r="H136">
        <v>91.182374302297831</v>
      </c>
      <c r="I136">
        <v>6.6834663273766637</v>
      </c>
      <c r="J136">
        <v>79.218082502484322</v>
      </c>
      <c r="K136">
        <v>245</v>
      </c>
      <c r="L136">
        <v>51.98038288905304</v>
      </c>
    </row>
    <row r="137" spans="4:12" x14ac:dyDescent="0.25">
      <c r="D137" s="7">
        <v>41963</v>
      </c>
      <c r="E137" t="s">
        <v>7</v>
      </c>
      <c r="F137" s="5">
        <v>0.59490740740740744</v>
      </c>
      <c r="G137">
        <v>74.568867823109031</v>
      </c>
      <c r="H137">
        <v>74.568867823109031</v>
      </c>
      <c r="I137">
        <v>25.606686784885824</v>
      </c>
      <c r="J137">
        <v>34.959998494014144</v>
      </c>
      <c r="K137">
        <v>439</v>
      </c>
      <c r="L137">
        <v>43.082076488571893</v>
      </c>
    </row>
    <row r="138" spans="4:12" x14ac:dyDescent="0.25">
      <c r="D138" s="7">
        <v>41963</v>
      </c>
      <c r="E138" t="s">
        <v>7</v>
      </c>
      <c r="F138" s="5">
        <v>0.59722222222222221</v>
      </c>
      <c r="G138">
        <v>81.560424924828112</v>
      </c>
      <c r="H138">
        <v>81.560424924828112</v>
      </c>
      <c r="I138">
        <v>15.313738491386175</v>
      </c>
      <c r="J138">
        <v>15.313738491386175</v>
      </c>
      <c r="K138">
        <v>178</v>
      </c>
      <c r="L138">
        <v>48.739487224839252</v>
      </c>
    </row>
    <row r="139" spans="4:12" x14ac:dyDescent="0.25">
      <c r="D139" s="7">
        <v>41963</v>
      </c>
      <c r="E139" t="s">
        <v>7</v>
      </c>
      <c r="F139" s="5">
        <v>0.59953703703703709</v>
      </c>
      <c r="G139">
        <v>81.039789877831936</v>
      </c>
      <c r="H139">
        <v>81.039789877831936</v>
      </c>
      <c r="I139">
        <v>81.039789877831936</v>
      </c>
      <c r="J139">
        <v>81.039789877831936</v>
      </c>
      <c r="K139">
        <v>47</v>
      </c>
      <c r="L139">
        <v>81.039789877831936</v>
      </c>
    </row>
    <row r="140" spans="4:12" x14ac:dyDescent="0.25">
      <c r="D140" s="7">
        <v>41963</v>
      </c>
      <c r="E140" t="s">
        <v>39</v>
      </c>
      <c r="F140" s="5">
        <v>0.29398148148148145</v>
      </c>
      <c r="G140">
        <v>59.836647659540176</v>
      </c>
      <c r="H140">
        <v>59.836647659540176</v>
      </c>
      <c r="I140">
        <v>25.283786351792514</v>
      </c>
      <c r="J140">
        <v>38.372949231415987</v>
      </c>
      <c r="K140">
        <v>169</v>
      </c>
      <c r="L140">
        <v>41.399018087606194</v>
      </c>
    </row>
    <row r="141" spans="4:12" x14ac:dyDescent="0.25">
      <c r="D141" s="7">
        <v>41963</v>
      </c>
      <c r="E141" t="s">
        <v>39</v>
      </c>
      <c r="F141" s="5">
        <v>0.29629629629629628</v>
      </c>
      <c r="G141">
        <v>27.903857035562396</v>
      </c>
      <c r="H141">
        <v>89.277649181894958</v>
      </c>
      <c r="I141">
        <v>27.903857035562396</v>
      </c>
      <c r="J141">
        <v>76.364864921197295</v>
      </c>
      <c r="K141">
        <v>136</v>
      </c>
      <c r="L141">
        <v>58.807462671778495</v>
      </c>
    </row>
    <row r="142" spans="4:12" x14ac:dyDescent="0.25">
      <c r="D142" s="7">
        <v>41963</v>
      </c>
      <c r="E142" t="s">
        <v>39</v>
      </c>
      <c r="F142" s="5">
        <v>0.2986111111111111</v>
      </c>
      <c r="G142">
        <v>50.694618071429431</v>
      </c>
      <c r="H142">
        <v>50.694618071429431</v>
      </c>
      <c r="I142">
        <v>45.765422866679728</v>
      </c>
      <c r="J142">
        <v>45.765422866679728</v>
      </c>
      <c r="K142">
        <v>120</v>
      </c>
      <c r="L142">
        <v>48.928323123060785</v>
      </c>
    </row>
    <row r="143" spans="4:12" x14ac:dyDescent="0.25">
      <c r="D143" s="7">
        <v>41963</v>
      </c>
      <c r="E143" t="s">
        <v>39</v>
      </c>
      <c r="F143" s="5">
        <v>0.30092592592592593</v>
      </c>
      <c r="G143">
        <v>16.64250735193491</v>
      </c>
      <c r="H143">
        <v>16.64250735193491</v>
      </c>
      <c r="I143">
        <v>16.64250735193491</v>
      </c>
      <c r="J143">
        <v>16.64250735193491</v>
      </c>
      <c r="K143">
        <v>33</v>
      </c>
      <c r="L143">
        <v>16.64250735193491</v>
      </c>
    </row>
    <row r="144" spans="4:12" x14ac:dyDescent="0.25">
      <c r="D144" s="7">
        <v>41963</v>
      </c>
      <c r="E144" t="s">
        <v>39</v>
      </c>
      <c r="F144" s="5">
        <v>0.30324074074074076</v>
      </c>
      <c r="G144">
        <v>52.303779125213623</v>
      </c>
      <c r="H144">
        <v>68.052754295058548</v>
      </c>
      <c r="I144">
        <v>14.745415071956813</v>
      </c>
      <c r="J144">
        <v>35.599854146130383</v>
      </c>
      <c r="K144">
        <v>261</v>
      </c>
      <c r="L144">
        <v>39.316334025987864</v>
      </c>
    </row>
    <row r="145" spans="4:12" x14ac:dyDescent="0.25">
      <c r="D145" s="7">
        <v>41963</v>
      </c>
      <c r="E145" t="s">
        <v>39</v>
      </c>
      <c r="F145" s="5">
        <v>0.30555555555555552</v>
      </c>
      <c r="G145">
        <v>87.285984796471894</v>
      </c>
      <c r="H145">
        <v>87.285984796471894</v>
      </c>
      <c r="I145">
        <v>12.715544598177075</v>
      </c>
      <c r="J145">
        <v>12.715544598177075</v>
      </c>
      <c r="K145">
        <v>457</v>
      </c>
      <c r="L145">
        <v>53.021674122991492</v>
      </c>
    </row>
    <row r="146" spans="4:12" x14ac:dyDescent="0.25">
      <c r="D146" s="7">
        <v>41963</v>
      </c>
      <c r="E146" t="s">
        <v>39</v>
      </c>
      <c r="F146" s="5">
        <v>0.30787037037037041</v>
      </c>
      <c r="G146">
        <v>2.2319378331303596E-2</v>
      </c>
      <c r="H146">
        <v>51.896990882232785</v>
      </c>
      <c r="I146">
        <v>2.2319378331303596E-2</v>
      </c>
      <c r="J146">
        <v>51.896990882232785</v>
      </c>
      <c r="K146">
        <v>63</v>
      </c>
      <c r="L146">
        <v>22.254321451431938</v>
      </c>
    </row>
    <row r="147" spans="4:12" x14ac:dyDescent="0.25">
      <c r="D147" s="7">
        <v>41963</v>
      </c>
      <c r="E147" t="s">
        <v>39</v>
      </c>
      <c r="F147" s="5">
        <v>0.31018518518518517</v>
      </c>
      <c r="G147">
        <v>78.014022368006408</v>
      </c>
      <c r="H147">
        <v>78.014022368006408</v>
      </c>
      <c r="I147">
        <v>12.550881807692349</v>
      </c>
      <c r="J147">
        <v>12.550881807692349</v>
      </c>
      <c r="K147">
        <v>161</v>
      </c>
      <c r="L147">
        <v>43.295562667598638</v>
      </c>
    </row>
    <row r="148" spans="4:12" x14ac:dyDescent="0.25">
      <c r="D148" s="7">
        <v>41963</v>
      </c>
      <c r="E148" t="s">
        <v>39</v>
      </c>
      <c r="F148" s="5">
        <v>0.3125</v>
      </c>
      <c r="G148">
        <v>57.901788526214659</v>
      </c>
      <c r="H148">
        <v>91.938940994441509</v>
      </c>
      <c r="I148">
        <v>14.725567516870797</v>
      </c>
      <c r="J148">
        <v>91.938940994441509</v>
      </c>
      <c r="K148">
        <v>216</v>
      </c>
      <c r="L148">
        <v>59.579511550664726</v>
      </c>
    </row>
    <row r="149" spans="4:12" x14ac:dyDescent="0.25">
      <c r="D149" s="7">
        <v>41963</v>
      </c>
      <c r="E149" t="s">
        <v>39</v>
      </c>
      <c r="F149" s="5">
        <v>0.31481481481481483</v>
      </c>
      <c r="G149">
        <v>49.990906775929034</v>
      </c>
      <c r="H149">
        <v>54.555368330329657</v>
      </c>
      <c r="I149">
        <v>49.990906775929034</v>
      </c>
      <c r="J149">
        <v>50.313794706016779</v>
      </c>
      <c r="K149">
        <v>88</v>
      </c>
      <c r="L149">
        <v>50.353488598061219</v>
      </c>
    </row>
    <row r="150" spans="4:12" x14ac:dyDescent="0.25">
      <c r="D150" s="7">
        <v>41963</v>
      </c>
      <c r="E150" t="s">
        <v>39</v>
      </c>
      <c r="F150" s="5">
        <v>0.31712962962962959</v>
      </c>
      <c r="G150">
        <v>23.95954777020961</v>
      </c>
      <c r="H150">
        <v>98.747134511359036</v>
      </c>
      <c r="I150">
        <v>23.95954777020961</v>
      </c>
      <c r="J150">
        <v>50.425823428668082</v>
      </c>
      <c r="K150">
        <v>214</v>
      </c>
      <c r="L150">
        <v>35.459206553467631</v>
      </c>
    </row>
    <row r="151" spans="4:12" x14ac:dyDescent="0.25">
      <c r="D151" s="7">
        <v>41963</v>
      </c>
      <c r="E151" t="s">
        <v>39</v>
      </c>
      <c r="F151" s="5">
        <v>0.31944444444444448</v>
      </c>
      <c r="G151">
        <v>58.468542620539665</v>
      </c>
      <c r="H151">
        <v>58.468542620539665</v>
      </c>
      <c r="I151">
        <v>26.158264605328441</v>
      </c>
      <c r="J151">
        <v>26.158264605328441</v>
      </c>
      <c r="K151">
        <v>158</v>
      </c>
      <c r="L151">
        <v>42.351210515657321</v>
      </c>
    </row>
    <row r="152" spans="4:12" x14ac:dyDescent="0.25">
      <c r="D152" s="7">
        <v>41963</v>
      </c>
      <c r="E152" t="s">
        <v>39</v>
      </c>
      <c r="F152" s="5">
        <v>0.32175925925925924</v>
      </c>
      <c r="G152">
        <v>87.83182785846293</v>
      </c>
      <c r="H152">
        <v>94.155572750605643</v>
      </c>
      <c r="I152">
        <v>13.739920849911869</v>
      </c>
      <c r="J152">
        <v>94.155572750605643</v>
      </c>
      <c r="K152">
        <v>125</v>
      </c>
      <c r="L152">
        <v>48.332953605242075</v>
      </c>
    </row>
    <row r="153" spans="4:12" x14ac:dyDescent="0.25">
      <c r="D153" s="7">
        <v>41963</v>
      </c>
      <c r="E153" t="s">
        <v>39</v>
      </c>
      <c r="F153" s="5">
        <v>0.32407407407407407</v>
      </c>
      <c r="G153">
        <v>22.979788389056921</v>
      </c>
      <c r="H153">
        <v>94.938811101019382</v>
      </c>
      <c r="I153">
        <v>15.335103264078498</v>
      </c>
      <c r="J153">
        <v>31.414456130005419</v>
      </c>
      <c r="K153">
        <v>193</v>
      </c>
      <c r="L153">
        <v>36.687260448638291</v>
      </c>
    </row>
    <row r="154" spans="4:12" x14ac:dyDescent="0.25">
      <c r="D154" s="7">
        <v>41963</v>
      </c>
      <c r="E154" t="s">
        <v>39</v>
      </c>
      <c r="F154" s="5">
        <v>0.3263888888888889</v>
      </c>
      <c r="G154">
        <v>17.894624779000878</v>
      </c>
      <c r="H154">
        <v>17.894624779000878</v>
      </c>
      <c r="I154">
        <v>17.894624779000878</v>
      </c>
      <c r="J154">
        <v>17.894624779000878</v>
      </c>
      <c r="K154">
        <v>52</v>
      </c>
      <c r="L154">
        <v>17.894624779000878</v>
      </c>
    </row>
    <row r="155" spans="4:12" x14ac:dyDescent="0.25">
      <c r="D155" s="7">
        <v>41963</v>
      </c>
      <c r="E155" t="s">
        <v>39</v>
      </c>
      <c r="F155" s="5">
        <v>0.32870370370370372</v>
      </c>
      <c r="G155">
        <v>9.0943881776183844</v>
      </c>
      <c r="H155">
        <v>60.208846349269152</v>
      </c>
      <c r="I155">
        <v>8.7864009197801352</v>
      </c>
      <c r="J155">
        <v>60.208846349269152</v>
      </c>
      <c r="K155">
        <v>263</v>
      </c>
      <c r="L155">
        <v>40.637181825872098</v>
      </c>
    </row>
    <row r="156" spans="4:12" x14ac:dyDescent="0.25">
      <c r="D156" s="7">
        <v>41963</v>
      </c>
      <c r="E156" t="s">
        <v>39</v>
      </c>
      <c r="F156" s="5">
        <v>0.33101851851851855</v>
      </c>
      <c r="G156">
        <v>91.167759383097291</v>
      </c>
      <c r="H156">
        <v>91.167759383097291</v>
      </c>
      <c r="I156">
        <v>9.3573361169546843</v>
      </c>
      <c r="J156">
        <v>9.3573361169546843</v>
      </c>
      <c r="K156">
        <v>221</v>
      </c>
      <c r="L156">
        <v>47.39452678019105</v>
      </c>
    </row>
    <row r="157" spans="4:12" x14ac:dyDescent="0.25">
      <c r="D157" s="7">
        <v>41963</v>
      </c>
      <c r="E157" t="s">
        <v>39</v>
      </c>
      <c r="F157" s="5">
        <v>0.33333333333333331</v>
      </c>
      <c r="G157">
        <v>77.847751090303063</v>
      </c>
      <c r="H157">
        <v>77.847751090303063</v>
      </c>
      <c r="I157">
        <v>22.770488075911999</v>
      </c>
      <c r="J157">
        <v>22.770488075911999</v>
      </c>
      <c r="K157">
        <v>191</v>
      </c>
      <c r="L157">
        <v>32.253961923961278</v>
      </c>
    </row>
    <row r="158" spans="4:12" x14ac:dyDescent="0.25">
      <c r="D158" s="7">
        <v>41963</v>
      </c>
      <c r="E158" t="s">
        <v>39</v>
      </c>
      <c r="F158" s="5">
        <v>0.33564814814814814</v>
      </c>
      <c r="G158">
        <v>93.429802474565804</v>
      </c>
      <c r="H158">
        <v>93.429802474565804</v>
      </c>
      <c r="I158">
        <v>15.947799920104444</v>
      </c>
      <c r="J158">
        <v>15.947799920104444</v>
      </c>
      <c r="K158">
        <v>102</v>
      </c>
      <c r="L158">
        <v>41.237086067021842</v>
      </c>
    </row>
    <row r="159" spans="4:12" x14ac:dyDescent="0.25">
      <c r="D159" s="7">
        <v>41963</v>
      </c>
      <c r="E159" t="s">
        <v>39</v>
      </c>
      <c r="F159" s="5">
        <v>0.33796296296296297</v>
      </c>
      <c r="G159">
        <v>81.681160791777074</v>
      </c>
      <c r="H159">
        <v>81.681160791777074</v>
      </c>
      <c r="I159">
        <v>36.071878625079989</v>
      </c>
      <c r="J159">
        <v>36.071878625079989</v>
      </c>
      <c r="K159">
        <v>165</v>
      </c>
      <c r="L159">
        <v>60.673249005904481</v>
      </c>
    </row>
    <row r="160" spans="4:12" x14ac:dyDescent="0.25">
      <c r="D160" s="7">
        <v>41963</v>
      </c>
      <c r="E160" t="s">
        <v>39</v>
      </c>
      <c r="F160" s="5">
        <v>0.34027777777777773</v>
      </c>
      <c r="G160">
        <v>14.61087150964886</v>
      </c>
      <c r="H160">
        <v>92.876239400357008</v>
      </c>
      <c r="I160">
        <v>9.0737296268343925</v>
      </c>
      <c r="J160">
        <v>64.172757649794221</v>
      </c>
      <c r="K160">
        <v>628</v>
      </c>
      <c r="L160">
        <v>40.550479631845775</v>
      </c>
    </row>
    <row r="161" spans="4:12" x14ac:dyDescent="0.25">
      <c r="D161" s="7">
        <v>41963</v>
      </c>
      <c r="E161" t="s">
        <v>39</v>
      </c>
      <c r="F161" s="5">
        <v>0.34259259259259256</v>
      </c>
      <c r="G161">
        <v>50.239445688202977</v>
      </c>
      <c r="H161">
        <v>74.734527664259076</v>
      </c>
      <c r="I161">
        <v>32.825532229617238</v>
      </c>
      <c r="J161">
        <v>74.734527664259076</v>
      </c>
      <c r="K161">
        <v>287</v>
      </c>
      <c r="L161">
        <v>46.836355632375472</v>
      </c>
    </row>
    <row r="162" spans="4:12" x14ac:dyDescent="0.25">
      <c r="D162" s="7">
        <v>41963</v>
      </c>
      <c r="E162" t="s">
        <v>39</v>
      </c>
      <c r="F162" s="5">
        <v>0.34490740740740744</v>
      </c>
      <c r="G162">
        <v>71.992594841867685</v>
      </c>
      <c r="H162">
        <v>71.992594841867685</v>
      </c>
      <c r="I162">
        <v>27.500576502643526</v>
      </c>
      <c r="J162">
        <v>27.500576502643526</v>
      </c>
      <c r="K162">
        <v>173</v>
      </c>
      <c r="L162">
        <v>51.123845813435238</v>
      </c>
    </row>
    <row r="163" spans="4:12" x14ac:dyDescent="0.25">
      <c r="D163" s="7">
        <v>41963</v>
      </c>
      <c r="E163" t="s">
        <v>39</v>
      </c>
      <c r="F163" s="5">
        <v>0.34722222222222227</v>
      </c>
      <c r="G163">
        <v>28.676497563719749</v>
      </c>
      <c r="H163">
        <v>87.961521558463573</v>
      </c>
      <c r="I163">
        <v>10.594965307973325</v>
      </c>
      <c r="J163">
        <v>10.959341051056981</v>
      </c>
      <c r="K163">
        <v>327</v>
      </c>
      <c r="L163">
        <v>39.083051081285426</v>
      </c>
    </row>
    <row r="164" spans="4:12" x14ac:dyDescent="0.25">
      <c r="D164" s="7">
        <v>41963</v>
      </c>
      <c r="E164" t="s">
        <v>39</v>
      </c>
      <c r="F164" s="5">
        <v>0.34953703703703703</v>
      </c>
      <c r="G164">
        <v>68.661008309572935</v>
      </c>
      <c r="H164">
        <v>70.889850286766887</v>
      </c>
      <c r="I164">
        <v>54.694748111069202</v>
      </c>
      <c r="J164">
        <v>54.694748111069202</v>
      </c>
      <c r="K164">
        <v>124</v>
      </c>
      <c r="L164">
        <v>61.366366006193623</v>
      </c>
    </row>
    <row r="165" spans="4:12" x14ac:dyDescent="0.25">
      <c r="D165" s="7">
        <v>41963</v>
      </c>
      <c r="E165" t="s">
        <v>39</v>
      </c>
      <c r="F165" s="5">
        <v>0.35185185185185186</v>
      </c>
      <c r="G165">
        <v>42.202001204714179</v>
      </c>
      <c r="H165">
        <v>69.3548075389117</v>
      </c>
      <c r="I165">
        <v>23.272897768765688</v>
      </c>
      <c r="J165">
        <v>69.3548075389117</v>
      </c>
      <c r="K165">
        <v>184</v>
      </c>
      <c r="L165">
        <v>44.569330187716886</v>
      </c>
    </row>
    <row r="166" spans="4:12" x14ac:dyDescent="0.25">
      <c r="D166" s="7">
        <v>41963</v>
      </c>
      <c r="E166" t="s">
        <v>39</v>
      </c>
      <c r="F166" s="5">
        <v>0.35416666666666669</v>
      </c>
      <c r="G166">
        <v>31.571408361196518</v>
      </c>
      <c r="H166">
        <v>61.152986832894385</v>
      </c>
      <c r="I166">
        <v>31.571408361196518</v>
      </c>
      <c r="J166">
        <v>61.152986832894385</v>
      </c>
      <c r="K166">
        <v>171</v>
      </c>
      <c r="L166">
        <v>46.10271006659196</v>
      </c>
    </row>
    <row r="167" spans="4:12" x14ac:dyDescent="0.25">
      <c r="D167" s="7">
        <v>41963</v>
      </c>
      <c r="E167" t="s">
        <v>39</v>
      </c>
      <c r="F167" s="5">
        <v>0.35648148148148145</v>
      </c>
      <c r="G167">
        <v>91.197549132630229</v>
      </c>
      <c r="H167">
        <v>91.197549132630229</v>
      </c>
      <c r="I167">
        <v>16.041227360256016</v>
      </c>
      <c r="J167">
        <v>53.652638499625027</v>
      </c>
      <c r="K167">
        <v>347</v>
      </c>
      <c r="L167">
        <v>64.879317536161039</v>
      </c>
    </row>
    <row r="168" spans="4:12" x14ac:dyDescent="0.25">
      <c r="D168" s="7">
        <v>41963</v>
      </c>
      <c r="E168" t="s">
        <v>39</v>
      </c>
      <c r="F168" s="5">
        <v>0.35879629629629628</v>
      </c>
      <c r="G168">
        <v>79.325466323643923</v>
      </c>
      <c r="H168">
        <v>79.325466323643923</v>
      </c>
      <c r="I168">
        <v>79.325466323643923</v>
      </c>
      <c r="J168">
        <v>79.325466323643923</v>
      </c>
      <c r="K168">
        <v>30</v>
      </c>
      <c r="L168">
        <v>79.325466323643923</v>
      </c>
    </row>
    <row r="169" spans="4:12" x14ac:dyDescent="0.25">
      <c r="D169" s="7">
        <v>41963</v>
      </c>
      <c r="E169" t="s">
        <v>39</v>
      </c>
      <c r="F169" s="5">
        <v>0.3611111111111111</v>
      </c>
      <c r="G169">
        <v>65.809374256059527</v>
      </c>
      <c r="H169">
        <v>68.499188916757703</v>
      </c>
      <c r="I169">
        <v>31.619226466864347</v>
      </c>
      <c r="J169">
        <v>31.619226466864347</v>
      </c>
      <c r="K169">
        <v>141</v>
      </c>
      <c r="L169">
        <v>48.03729904716478</v>
      </c>
    </row>
    <row r="170" spans="4:12" x14ac:dyDescent="0.25">
      <c r="D170" s="7">
        <v>41963</v>
      </c>
      <c r="E170" t="s">
        <v>39</v>
      </c>
      <c r="F170" s="5">
        <v>0.36342592592592587</v>
      </c>
      <c r="G170">
        <v>56.471429113298655</v>
      </c>
      <c r="H170">
        <v>81.143271131440997</v>
      </c>
      <c r="I170">
        <v>6.5503949299454689</v>
      </c>
      <c r="J170">
        <v>6.5503949299454689</v>
      </c>
      <c r="K170">
        <v>325</v>
      </c>
      <c r="L170">
        <v>53.459393229622108</v>
      </c>
    </row>
    <row r="171" spans="4:12" x14ac:dyDescent="0.25">
      <c r="D171" s="7">
        <v>41963</v>
      </c>
      <c r="E171" t="s">
        <v>39</v>
      </c>
      <c r="F171" s="5">
        <v>0.36574074074074076</v>
      </c>
      <c r="G171">
        <v>86.485890857875347</v>
      </c>
      <c r="H171">
        <v>86.485890857875347</v>
      </c>
      <c r="I171">
        <v>34.455867041833699</v>
      </c>
      <c r="J171">
        <v>61.142410454340279</v>
      </c>
      <c r="K171">
        <v>140</v>
      </c>
      <c r="L171">
        <v>57.849997520014377</v>
      </c>
    </row>
    <row r="172" spans="4:12" x14ac:dyDescent="0.25">
      <c r="D172" s="7">
        <v>41963</v>
      </c>
      <c r="E172" t="s">
        <v>39</v>
      </c>
      <c r="F172" s="5">
        <v>0.36805555555555558</v>
      </c>
      <c r="G172">
        <v>40.955816325731575</v>
      </c>
      <c r="H172">
        <v>40.955816325731575</v>
      </c>
      <c r="I172">
        <v>40.955816325731575</v>
      </c>
      <c r="J172">
        <v>40.955816325731575</v>
      </c>
      <c r="K172">
        <v>97</v>
      </c>
      <c r="L172">
        <v>40.955816325731575</v>
      </c>
    </row>
    <row r="173" spans="4:12" x14ac:dyDescent="0.25">
      <c r="D173" s="7">
        <v>41963</v>
      </c>
      <c r="E173" t="s">
        <v>39</v>
      </c>
      <c r="F173" s="5">
        <v>0.37037037037037041</v>
      </c>
      <c r="G173">
        <v>37.869356037117541</v>
      </c>
      <c r="H173">
        <v>76.254794537089765</v>
      </c>
      <c r="I173">
        <v>37.869356037117541</v>
      </c>
      <c r="J173">
        <v>65.219889557920396</v>
      </c>
      <c r="K173">
        <v>234</v>
      </c>
      <c r="L173">
        <v>49.929770011490639</v>
      </c>
    </row>
    <row r="174" spans="4:12" x14ac:dyDescent="0.25">
      <c r="D174" s="7">
        <v>41963</v>
      </c>
      <c r="E174" t="s">
        <v>39</v>
      </c>
      <c r="F174" s="5">
        <v>0.37268518518518517</v>
      </c>
      <c r="G174">
        <v>71.121520386077464</v>
      </c>
      <c r="H174">
        <v>92.86259151995182</v>
      </c>
      <c r="I174">
        <v>47.458688984625041</v>
      </c>
      <c r="J174">
        <v>77.516722097061574</v>
      </c>
      <c r="K174">
        <v>114</v>
      </c>
      <c r="L174">
        <v>75.523611668317599</v>
      </c>
    </row>
    <row r="175" spans="4:12" x14ac:dyDescent="0.25">
      <c r="D175" s="7">
        <v>41963</v>
      </c>
      <c r="E175" t="s">
        <v>39</v>
      </c>
      <c r="F175" s="5">
        <v>0.375</v>
      </c>
      <c r="G175">
        <v>0.68045500665903091</v>
      </c>
      <c r="H175">
        <v>93.565441900864244</v>
      </c>
      <c r="I175">
        <v>0.68045500665903091</v>
      </c>
      <c r="J175">
        <v>91.733588255010545</v>
      </c>
      <c r="K175">
        <v>227</v>
      </c>
      <c r="L175">
        <v>63.882158198988776</v>
      </c>
    </row>
    <row r="176" spans="4:12" x14ac:dyDescent="0.25">
      <c r="D176" s="7">
        <v>41963</v>
      </c>
      <c r="E176" t="s">
        <v>39</v>
      </c>
      <c r="F176" s="5">
        <v>0.37731481481481483</v>
      </c>
      <c r="G176">
        <v>2.9530971078202128</v>
      </c>
      <c r="H176">
        <v>61.761394911445677</v>
      </c>
      <c r="I176">
        <v>1.0442293249070644</v>
      </c>
      <c r="J176">
        <v>61.761394911445677</v>
      </c>
      <c r="K176">
        <v>350</v>
      </c>
      <c r="L176">
        <v>46.040962006763685</v>
      </c>
    </row>
    <row r="177" spans="4:12" x14ac:dyDescent="0.25">
      <c r="D177" s="7">
        <v>41963</v>
      </c>
      <c r="E177" t="s">
        <v>39</v>
      </c>
      <c r="F177" s="5">
        <v>0.37962962962962959</v>
      </c>
      <c r="G177">
        <v>3.7856640061363578</v>
      </c>
      <c r="H177">
        <v>93.884056666865945</v>
      </c>
      <c r="I177">
        <v>3.7856640061363578</v>
      </c>
      <c r="J177">
        <v>93.884056666865945</v>
      </c>
      <c r="K177">
        <v>313</v>
      </c>
      <c r="L177">
        <v>53.976736074170702</v>
      </c>
    </row>
    <row r="178" spans="4:12" x14ac:dyDescent="0.25">
      <c r="D178" s="7">
        <v>41963</v>
      </c>
      <c r="E178" t="s">
        <v>39</v>
      </c>
      <c r="F178" s="5">
        <v>0.38194444444444442</v>
      </c>
      <c r="G178">
        <v>97.528452309779823</v>
      </c>
      <c r="H178">
        <v>97.528452309779823</v>
      </c>
      <c r="I178">
        <v>46.107884147204459</v>
      </c>
      <c r="J178">
        <v>46.107884147204459</v>
      </c>
      <c r="K178">
        <v>215</v>
      </c>
      <c r="L178">
        <v>76.903636436151388</v>
      </c>
    </row>
    <row r="179" spans="4:12" x14ac:dyDescent="0.25">
      <c r="D179" s="7">
        <v>41963</v>
      </c>
      <c r="E179" t="s">
        <v>39</v>
      </c>
      <c r="F179" s="5">
        <v>0.38425925925925924</v>
      </c>
      <c r="G179">
        <v>9.9563800264149904</v>
      </c>
      <c r="H179">
        <v>78.389756730757654</v>
      </c>
      <c r="I179">
        <v>9.9563800264149904</v>
      </c>
      <c r="J179">
        <v>24.337208573706448</v>
      </c>
      <c r="K179">
        <v>238</v>
      </c>
      <c r="L179">
        <v>40.668439636390438</v>
      </c>
    </row>
    <row r="180" spans="4:12" x14ac:dyDescent="0.25">
      <c r="D180" s="7">
        <v>41963</v>
      </c>
      <c r="E180" t="s">
        <v>39</v>
      </c>
      <c r="F180" s="5">
        <v>0.38657407407407413</v>
      </c>
      <c r="G180">
        <v>89.219397073611617</v>
      </c>
      <c r="H180">
        <v>89.219397073611617</v>
      </c>
      <c r="I180">
        <v>41.59307146910578</v>
      </c>
      <c r="J180">
        <v>41.59307146910578</v>
      </c>
      <c r="K180">
        <v>137</v>
      </c>
      <c r="L180">
        <v>57.584392474998253</v>
      </c>
    </row>
    <row r="181" spans="4:12" x14ac:dyDescent="0.25">
      <c r="D181" s="7">
        <v>41963</v>
      </c>
      <c r="E181" t="s">
        <v>39</v>
      </c>
      <c r="F181" s="5">
        <v>0.3888888888888889</v>
      </c>
      <c r="G181">
        <v>37.453922326676548</v>
      </c>
      <c r="H181">
        <v>80.55159819778055</v>
      </c>
      <c r="I181">
        <v>37.453922326676548</v>
      </c>
      <c r="J181">
        <v>80.55159819778055</v>
      </c>
      <c r="K181">
        <v>178</v>
      </c>
      <c r="L181">
        <v>65.82488139929103</v>
      </c>
    </row>
    <row r="182" spans="4:12" x14ac:dyDescent="0.25">
      <c r="D182" s="7">
        <v>41963</v>
      </c>
      <c r="E182" t="s">
        <v>39</v>
      </c>
      <c r="F182" s="5">
        <v>0.39120370370370372</v>
      </c>
      <c r="G182">
        <v>85.910704405978322</v>
      </c>
      <c r="H182">
        <v>92.825251957401633</v>
      </c>
      <c r="I182">
        <v>3.3074770588427782</v>
      </c>
      <c r="J182">
        <v>92.825251957401633</v>
      </c>
      <c r="K182">
        <v>290</v>
      </c>
      <c r="L182">
        <v>58.988002871387991</v>
      </c>
    </row>
    <row r="183" spans="4:12" x14ac:dyDescent="0.25">
      <c r="D183" s="7">
        <v>41963</v>
      </c>
      <c r="E183" t="s">
        <v>39</v>
      </c>
      <c r="F183" s="5">
        <v>0.39351851851851855</v>
      </c>
      <c r="G183">
        <v>16.631070943549275</v>
      </c>
      <c r="H183">
        <v>76.57432546839118</v>
      </c>
      <c r="I183">
        <v>16.631070943549275</v>
      </c>
      <c r="J183">
        <v>76.57432546839118</v>
      </c>
      <c r="K183">
        <v>141</v>
      </c>
      <c r="L183">
        <v>34.911637926302483</v>
      </c>
    </row>
    <row r="184" spans="4:12" x14ac:dyDescent="0.25">
      <c r="D184" s="7">
        <v>41963</v>
      </c>
      <c r="E184" t="s">
        <v>39</v>
      </c>
      <c r="F184" s="5">
        <v>0.39583333333333331</v>
      </c>
      <c r="G184">
        <v>6.3593960367143154</v>
      </c>
      <c r="H184">
        <v>90.633287932723761</v>
      </c>
      <c r="I184">
        <v>2.8140560956671834</v>
      </c>
      <c r="J184">
        <v>90.633287932723761</v>
      </c>
      <c r="K184">
        <v>323</v>
      </c>
      <c r="L184">
        <v>44.903542958387398</v>
      </c>
    </row>
    <row r="185" spans="4:12" x14ac:dyDescent="0.25">
      <c r="D185" s="7">
        <v>41963</v>
      </c>
      <c r="E185" t="s">
        <v>39</v>
      </c>
      <c r="F185" s="5">
        <v>0.39814814814814814</v>
      </c>
      <c r="G185">
        <v>25.736454245634377</v>
      </c>
      <c r="H185">
        <v>25.736454245634377</v>
      </c>
      <c r="I185">
        <v>25.736454245634377</v>
      </c>
      <c r="J185">
        <v>25.736454245634377</v>
      </c>
      <c r="K185">
        <v>33</v>
      </c>
      <c r="L185">
        <v>25.736454245634377</v>
      </c>
    </row>
    <row r="186" spans="4:12" x14ac:dyDescent="0.25">
      <c r="D186" s="7">
        <v>41963</v>
      </c>
      <c r="E186" t="s">
        <v>39</v>
      </c>
      <c r="F186" s="5">
        <v>0.40046296296296297</v>
      </c>
      <c r="G186">
        <v>34.10954165738076</v>
      </c>
      <c r="H186">
        <v>34.10954165738076</v>
      </c>
      <c r="I186">
        <v>21.995824761688709</v>
      </c>
      <c r="J186">
        <v>21.995824761688709</v>
      </c>
      <c r="K186">
        <v>29</v>
      </c>
      <c r="L186">
        <v>25.337539767396862</v>
      </c>
    </row>
    <row r="187" spans="4:12" x14ac:dyDescent="0.25">
      <c r="D187" s="7">
        <v>41963</v>
      </c>
      <c r="E187" t="s">
        <v>39</v>
      </c>
      <c r="F187" s="5">
        <v>0.40277777777777773</v>
      </c>
      <c r="G187">
        <v>35.914782085455954</v>
      </c>
      <c r="H187">
        <v>92.791473586112261</v>
      </c>
      <c r="I187">
        <v>35.914782085455954</v>
      </c>
      <c r="J187">
        <v>39.376774174161255</v>
      </c>
      <c r="K187">
        <v>311</v>
      </c>
      <c r="L187">
        <v>61.216347993477292</v>
      </c>
    </row>
    <row r="188" spans="4:12" x14ac:dyDescent="0.25">
      <c r="D188" s="7">
        <v>41963</v>
      </c>
      <c r="E188" t="s">
        <v>39</v>
      </c>
      <c r="F188" s="5">
        <v>0.40509259259259256</v>
      </c>
      <c r="G188">
        <v>84.977201884612441</v>
      </c>
      <c r="H188">
        <v>84.977201884612441</v>
      </c>
      <c r="I188">
        <v>5.3660785313695669</v>
      </c>
      <c r="J188">
        <v>63.980815117247403</v>
      </c>
      <c r="K188">
        <v>399</v>
      </c>
      <c r="L188">
        <v>49.245116478100627</v>
      </c>
    </row>
    <row r="189" spans="4:12" x14ac:dyDescent="0.25">
      <c r="D189" s="7">
        <v>41963</v>
      </c>
      <c r="E189" t="s">
        <v>39</v>
      </c>
      <c r="F189" s="5">
        <v>0.40740740740740744</v>
      </c>
      <c r="G189">
        <v>16.503146174363792</v>
      </c>
      <c r="H189">
        <v>57.038501580245793</v>
      </c>
      <c r="I189">
        <v>0.13816643040627241</v>
      </c>
      <c r="J189">
        <v>0.13816643040627241</v>
      </c>
      <c r="K189">
        <v>207</v>
      </c>
      <c r="L189">
        <v>31.495514304989022</v>
      </c>
    </row>
    <row r="190" spans="4:12" x14ac:dyDescent="0.25">
      <c r="D190" s="7">
        <v>41963</v>
      </c>
      <c r="E190" t="s">
        <v>39</v>
      </c>
      <c r="F190" s="5">
        <v>0.40972222222222227</v>
      </c>
      <c r="G190">
        <v>61.708509316667914</v>
      </c>
      <c r="H190">
        <v>61.708509316667914</v>
      </c>
      <c r="I190">
        <v>61.708509316667914</v>
      </c>
      <c r="J190">
        <v>61.708509316667914</v>
      </c>
      <c r="K190">
        <v>85</v>
      </c>
      <c r="L190">
        <v>61.708509316667914</v>
      </c>
    </row>
    <row r="191" spans="4:12" x14ac:dyDescent="0.25">
      <c r="D191" s="7">
        <v>41963</v>
      </c>
      <c r="E191" t="s">
        <v>39</v>
      </c>
      <c r="F191" s="5">
        <v>0.41203703703703703</v>
      </c>
      <c r="G191">
        <v>24.700916511937976</v>
      </c>
      <c r="H191">
        <v>65.577018610201776</v>
      </c>
      <c r="I191">
        <v>24.700916511937976</v>
      </c>
      <c r="J191">
        <v>65.577018610201776</v>
      </c>
      <c r="K191">
        <v>195</v>
      </c>
      <c r="L191">
        <v>44.596773417165075</v>
      </c>
    </row>
    <row r="192" spans="4:12" x14ac:dyDescent="0.25">
      <c r="D192" s="7">
        <v>41963</v>
      </c>
      <c r="E192" t="s">
        <v>39</v>
      </c>
      <c r="F192" s="5">
        <v>0.41435185185185186</v>
      </c>
      <c r="G192">
        <v>21.153631014749408</v>
      </c>
      <c r="H192">
        <v>69.743513269349933</v>
      </c>
      <c r="I192">
        <v>21.153631014749408</v>
      </c>
      <c r="J192">
        <v>69.743513269349933</v>
      </c>
      <c r="K192">
        <v>134</v>
      </c>
      <c r="L192">
        <v>34.570240294004776</v>
      </c>
    </row>
    <row r="193" spans="4:12" x14ac:dyDescent="0.25">
      <c r="D193" s="7">
        <v>41963</v>
      </c>
      <c r="E193" t="s">
        <v>39</v>
      </c>
      <c r="F193" s="5">
        <v>0.41666666666666669</v>
      </c>
      <c r="G193">
        <v>81.407493259757757</v>
      </c>
      <c r="H193">
        <v>81.407493259757757</v>
      </c>
      <c r="I193">
        <v>30.579244904220104</v>
      </c>
      <c r="J193">
        <v>30.579244904220104</v>
      </c>
      <c r="K193">
        <v>46</v>
      </c>
      <c r="L193">
        <v>71.46283597280474</v>
      </c>
    </row>
    <row r="194" spans="4:12" x14ac:dyDescent="0.25">
      <c r="D194" s="7">
        <v>41963</v>
      </c>
      <c r="E194" t="s">
        <v>39</v>
      </c>
      <c r="F194" s="5">
        <v>0.41898148148148145</v>
      </c>
      <c r="G194">
        <v>38.140682317316532</v>
      </c>
      <c r="H194">
        <v>79.360996396280825</v>
      </c>
      <c r="I194">
        <v>2.6489415671676397</v>
      </c>
      <c r="J194">
        <v>9.5123416511341929</v>
      </c>
      <c r="K194">
        <v>503</v>
      </c>
      <c r="L194">
        <v>44.057288354079411</v>
      </c>
    </row>
    <row r="195" spans="4:12" x14ac:dyDescent="0.25">
      <c r="D195" s="7">
        <v>41963</v>
      </c>
      <c r="E195" t="s">
        <v>39</v>
      </c>
      <c r="F195" s="5">
        <v>0.42129629629629628</v>
      </c>
      <c r="G195">
        <v>81.579805817455053</v>
      </c>
      <c r="H195">
        <v>86.348767881281674</v>
      </c>
      <c r="I195">
        <v>12.731748935766518</v>
      </c>
      <c r="J195">
        <v>44.214717322029173</v>
      </c>
      <c r="K195">
        <v>261</v>
      </c>
      <c r="L195">
        <v>76.080630519034841</v>
      </c>
    </row>
    <row r="196" spans="4:12" x14ac:dyDescent="0.25">
      <c r="D196" s="7">
        <v>41963</v>
      </c>
      <c r="E196" t="s">
        <v>39</v>
      </c>
      <c r="F196" s="5">
        <v>0.4236111111111111</v>
      </c>
      <c r="G196">
        <v>93.801616015844047</v>
      </c>
      <c r="H196">
        <v>93.801616015844047</v>
      </c>
      <c r="I196">
        <v>61.957154981791973</v>
      </c>
      <c r="J196">
        <v>61.957154981791973</v>
      </c>
      <c r="K196">
        <v>96</v>
      </c>
      <c r="L196">
        <v>77.328045292233583</v>
      </c>
    </row>
    <row r="197" spans="4:12" x14ac:dyDescent="0.25">
      <c r="D197" s="7">
        <v>41963</v>
      </c>
      <c r="E197" t="s">
        <v>39</v>
      </c>
      <c r="F197" s="5">
        <v>0.42592592592592587</v>
      </c>
      <c r="G197">
        <v>95.742035703733563</v>
      </c>
      <c r="H197">
        <v>95.742035703733563</v>
      </c>
      <c r="I197">
        <v>44.070275290869176</v>
      </c>
      <c r="J197">
        <v>59.925557859241962</v>
      </c>
      <c r="K197">
        <v>189</v>
      </c>
      <c r="L197">
        <v>68.896800515034954</v>
      </c>
    </row>
    <row r="198" spans="4:12" x14ac:dyDescent="0.25">
      <c r="D198" s="7">
        <v>41963</v>
      </c>
      <c r="E198" t="s">
        <v>39</v>
      </c>
      <c r="F198" s="5">
        <v>0.42824074074074076</v>
      </c>
      <c r="G198">
        <v>60.45335978269577</v>
      </c>
      <c r="H198">
        <v>73.036274104379117</v>
      </c>
      <c r="I198">
        <v>60.45335978269577</v>
      </c>
      <c r="J198">
        <v>73.036274104379117</v>
      </c>
      <c r="K198">
        <v>79</v>
      </c>
      <c r="L198">
        <v>66.98373303825295</v>
      </c>
    </row>
    <row r="199" spans="4:12" x14ac:dyDescent="0.25">
      <c r="D199" s="7">
        <v>41963</v>
      </c>
      <c r="E199" t="s">
        <v>39</v>
      </c>
      <c r="F199" s="5">
        <v>0.43055555555555558</v>
      </c>
      <c r="G199">
        <v>4.2410277063027024</v>
      </c>
      <c r="H199">
        <v>78.732111002318561</v>
      </c>
      <c r="I199">
        <v>4.2410277063027024</v>
      </c>
      <c r="J199">
        <v>60.619968990795314</v>
      </c>
      <c r="K199">
        <v>310</v>
      </c>
      <c r="L199">
        <v>44.11649590313074</v>
      </c>
    </row>
    <row r="200" spans="4:12" x14ac:dyDescent="0.25">
      <c r="D200" s="7">
        <v>41963</v>
      </c>
      <c r="E200" t="s">
        <v>39</v>
      </c>
      <c r="F200" s="5">
        <v>0.43287037037037041</v>
      </c>
      <c r="G200">
        <v>18.283506180159748</v>
      </c>
      <c r="H200">
        <v>60.257431236095726</v>
      </c>
      <c r="I200">
        <v>3.1211366876959801E-2</v>
      </c>
      <c r="J200">
        <v>52.468744851648808</v>
      </c>
      <c r="K200">
        <v>294</v>
      </c>
      <c r="L200">
        <v>37.561949949511991</v>
      </c>
    </row>
    <row r="201" spans="4:12" x14ac:dyDescent="0.25">
      <c r="D201" s="7">
        <v>41963</v>
      </c>
      <c r="E201" t="s">
        <v>39</v>
      </c>
      <c r="F201" s="5">
        <v>0.43518518518518517</v>
      </c>
      <c r="G201">
        <v>69.236419466324151</v>
      </c>
      <c r="H201">
        <v>69.236419466324151</v>
      </c>
      <c r="I201">
        <v>5.9515571221709251</v>
      </c>
      <c r="J201">
        <v>20.130275213159621</v>
      </c>
      <c r="K201">
        <v>326</v>
      </c>
      <c r="L201">
        <v>34.76711309099273</v>
      </c>
    </row>
    <row r="202" spans="4:12" x14ac:dyDescent="0.25">
      <c r="D202" s="7">
        <v>41963</v>
      </c>
      <c r="E202" t="s">
        <v>39</v>
      </c>
      <c r="F202" s="5">
        <v>0.4375</v>
      </c>
      <c r="G202">
        <v>54.961041617207229</v>
      </c>
      <c r="H202">
        <v>89.755048463121057</v>
      </c>
      <c r="I202">
        <v>26.921983878128231</v>
      </c>
      <c r="J202">
        <v>75.996720790863037</v>
      </c>
      <c r="K202">
        <v>174</v>
      </c>
      <c r="L202">
        <v>61.788353940000995</v>
      </c>
    </row>
    <row r="203" spans="4:12" x14ac:dyDescent="0.25">
      <c r="D203" s="7">
        <v>41963</v>
      </c>
      <c r="E203" t="s">
        <v>39</v>
      </c>
      <c r="F203" s="5">
        <v>0.43981481481481483</v>
      </c>
      <c r="G203">
        <v>15.083479532040656</v>
      </c>
      <c r="H203">
        <v>38.191297883167863</v>
      </c>
      <c r="I203">
        <v>0.13813106343150139</v>
      </c>
      <c r="J203">
        <v>38.191297883167863</v>
      </c>
      <c r="K203">
        <v>132</v>
      </c>
      <c r="L203">
        <v>28.79035671287442</v>
      </c>
    </row>
    <row r="204" spans="4:12" x14ac:dyDescent="0.25">
      <c r="D204" s="7">
        <v>41963</v>
      </c>
      <c r="E204" t="s">
        <v>39</v>
      </c>
      <c r="F204" s="5">
        <v>0.44212962962962959</v>
      </c>
      <c r="G204">
        <v>41.73538472969085</v>
      </c>
      <c r="H204">
        <v>41.73538472969085</v>
      </c>
      <c r="I204">
        <v>41.73538472969085</v>
      </c>
      <c r="J204">
        <v>41.73538472969085</v>
      </c>
      <c r="K204">
        <v>77</v>
      </c>
      <c r="L204">
        <v>41.73538472969085</v>
      </c>
    </row>
    <row r="205" spans="4:12" x14ac:dyDescent="0.25">
      <c r="D205" s="7">
        <v>41963</v>
      </c>
      <c r="E205" t="s">
        <v>39</v>
      </c>
      <c r="F205" s="5">
        <v>0.44444444444444442</v>
      </c>
      <c r="G205">
        <v>35.076471185311675</v>
      </c>
      <c r="H205">
        <v>64.499918767251074</v>
      </c>
      <c r="I205">
        <v>11.22429920360446</v>
      </c>
      <c r="J205">
        <v>11.22429920360446</v>
      </c>
      <c r="K205">
        <v>230</v>
      </c>
      <c r="L205">
        <v>34.68054125885196</v>
      </c>
    </row>
    <row r="206" spans="4:12" x14ac:dyDescent="0.25">
      <c r="D206" s="7">
        <v>41963</v>
      </c>
      <c r="E206" t="s">
        <v>39</v>
      </c>
      <c r="F206" s="5">
        <v>0.44675925925925924</v>
      </c>
      <c r="G206">
        <v>33.689191308803856</v>
      </c>
      <c r="H206">
        <v>43.758067418821156</v>
      </c>
      <c r="I206">
        <v>33.689191308803856</v>
      </c>
      <c r="J206">
        <v>43.758067418821156</v>
      </c>
      <c r="K206">
        <v>140</v>
      </c>
      <c r="L206">
        <v>40.665484042172984</v>
      </c>
    </row>
    <row r="207" spans="4:12" x14ac:dyDescent="0.25">
      <c r="D207" s="7">
        <v>41963</v>
      </c>
      <c r="E207" t="s">
        <v>39</v>
      </c>
      <c r="F207" s="5">
        <v>0.44907407407407413</v>
      </c>
      <c r="G207">
        <v>33.776391646824777</v>
      </c>
      <c r="H207">
        <v>96.833664854057133</v>
      </c>
      <c r="I207">
        <v>13.8096256647259</v>
      </c>
      <c r="J207">
        <v>87.719024694524705</v>
      </c>
      <c r="K207">
        <v>648</v>
      </c>
      <c r="L207">
        <v>52.678788880448224</v>
      </c>
    </row>
    <row r="208" spans="4:12" x14ac:dyDescent="0.25">
      <c r="D208" s="7">
        <v>41963</v>
      </c>
      <c r="E208" t="s">
        <v>39</v>
      </c>
      <c r="F208" s="5">
        <v>0.4513888888888889</v>
      </c>
      <c r="G208">
        <v>75.865660002455115</v>
      </c>
      <c r="H208">
        <v>88.729466614313424</v>
      </c>
      <c r="I208">
        <v>16.279443236999214</v>
      </c>
      <c r="J208">
        <v>88.729466614313424</v>
      </c>
      <c r="K208">
        <v>415</v>
      </c>
      <c r="L208">
        <v>46.307678816739063</v>
      </c>
    </row>
    <row r="209" spans="4:12" x14ac:dyDescent="0.25">
      <c r="D209" s="7">
        <v>41963</v>
      </c>
      <c r="E209" t="s">
        <v>39</v>
      </c>
      <c r="F209" s="5">
        <v>0.45370370370370372</v>
      </c>
      <c r="G209">
        <v>21.57869073562324</v>
      </c>
      <c r="H209">
        <v>94.090441870503128</v>
      </c>
      <c r="I209">
        <v>21.57869073562324</v>
      </c>
      <c r="J209">
        <v>21.630597487092018</v>
      </c>
      <c r="K209">
        <v>442</v>
      </c>
      <c r="L209">
        <v>61.767216508668675</v>
      </c>
    </row>
    <row r="210" spans="4:12" x14ac:dyDescent="0.25">
      <c r="D210" s="7">
        <v>41963</v>
      </c>
      <c r="E210" t="s">
        <v>39</v>
      </c>
      <c r="F210" s="5">
        <v>0.45601851851851855</v>
      </c>
      <c r="G210">
        <v>96.821694634854794</v>
      </c>
      <c r="H210">
        <v>96.821694634854794</v>
      </c>
      <c r="I210">
        <v>6.6212650388479233</v>
      </c>
      <c r="J210">
        <v>17.698422586545348</v>
      </c>
      <c r="K210">
        <v>436</v>
      </c>
      <c r="L210">
        <v>41.589582660993763</v>
      </c>
    </row>
    <row r="211" spans="4:12" x14ac:dyDescent="0.25">
      <c r="D211" s="7">
        <v>41963</v>
      </c>
      <c r="E211" t="s">
        <v>39</v>
      </c>
      <c r="F211" s="5">
        <v>0.45833333333333331</v>
      </c>
      <c r="G211">
        <v>77.420773240737617</v>
      </c>
      <c r="H211">
        <v>88.010841561481357</v>
      </c>
      <c r="I211">
        <v>2.2570170229300857</v>
      </c>
      <c r="J211">
        <v>9.3034476507455111</v>
      </c>
      <c r="K211">
        <v>277</v>
      </c>
      <c r="L211">
        <v>46.10948027061157</v>
      </c>
    </row>
    <row r="212" spans="4:12" x14ac:dyDescent="0.25">
      <c r="D212" s="7">
        <v>41963</v>
      </c>
      <c r="E212" t="s">
        <v>39</v>
      </c>
      <c r="F212" s="5">
        <v>0.46064814814814814</v>
      </c>
      <c r="G212">
        <v>12.35008742660284</v>
      </c>
      <c r="H212">
        <v>90.956675680354238</v>
      </c>
      <c r="I212">
        <v>12.35008742660284</v>
      </c>
      <c r="J212">
        <v>90.956675680354238</v>
      </c>
      <c r="K212">
        <v>234</v>
      </c>
      <c r="L212">
        <v>58.095638979719872</v>
      </c>
    </row>
    <row r="213" spans="4:12" x14ac:dyDescent="0.25">
      <c r="D213" s="7">
        <v>41963</v>
      </c>
      <c r="E213" t="s">
        <v>39</v>
      </c>
      <c r="F213" s="5">
        <v>0.46296296296296297</v>
      </c>
      <c r="G213">
        <v>7.920212228782475</v>
      </c>
      <c r="H213">
        <v>7.920212228782475</v>
      </c>
      <c r="I213">
        <v>7.920212228782475</v>
      </c>
      <c r="J213">
        <v>7.920212228782475</v>
      </c>
      <c r="K213">
        <v>38</v>
      </c>
      <c r="L213">
        <v>7.920212228782475</v>
      </c>
    </row>
    <row r="214" spans="4:12" x14ac:dyDescent="0.25">
      <c r="D214" s="7">
        <v>41963</v>
      </c>
      <c r="E214" t="s">
        <v>39</v>
      </c>
      <c r="F214" s="5">
        <v>0.46527777777777773</v>
      </c>
      <c r="G214">
        <v>42.11982365231961</v>
      </c>
      <c r="H214">
        <v>49.367124494165182</v>
      </c>
      <c r="I214">
        <v>42.11982365231961</v>
      </c>
      <c r="J214">
        <v>49.367124494165182</v>
      </c>
      <c r="K214">
        <v>74</v>
      </c>
      <c r="L214">
        <v>48.583632511262955</v>
      </c>
    </row>
    <row r="215" spans="4:12" x14ac:dyDescent="0.25">
      <c r="D215" s="7">
        <v>41963</v>
      </c>
      <c r="E215" t="s">
        <v>39</v>
      </c>
      <c r="F215" s="5">
        <v>0.46759259259259256</v>
      </c>
      <c r="G215">
        <v>62.723633041605353</v>
      </c>
      <c r="H215">
        <v>67.78284190222621</v>
      </c>
      <c r="I215">
        <v>54.162117978557944</v>
      </c>
      <c r="J215">
        <v>67.78284190222621</v>
      </c>
      <c r="K215">
        <v>213</v>
      </c>
      <c r="L215">
        <v>60.845484182089919</v>
      </c>
    </row>
    <row r="216" spans="4:12" x14ac:dyDescent="0.25">
      <c r="D216" s="7">
        <v>41963</v>
      </c>
      <c r="E216" t="s">
        <v>39</v>
      </c>
      <c r="F216" s="5">
        <v>0.46990740740740744</v>
      </c>
      <c r="G216">
        <v>21.002146089449525</v>
      </c>
      <c r="H216">
        <v>74.119772436097264</v>
      </c>
      <c r="I216">
        <v>21.002146089449525</v>
      </c>
      <c r="J216">
        <v>74.119772436097264</v>
      </c>
      <c r="K216">
        <v>109</v>
      </c>
      <c r="L216">
        <v>40.007535332745505</v>
      </c>
    </row>
    <row r="217" spans="4:12" x14ac:dyDescent="0.25">
      <c r="D217" s="7">
        <v>41963</v>
      </c>
      <c r="E217" t="s">
        <v>39</v>
      </c>
      <c r="F217" s="5">
        <v>0.47222222222222227</v>
      </c>
      <c r="G217">
        <v>80.049315630458295</v>
      </c>
      <c r="H217">
        <v>80.049315630458295</v>
      </c>
      <c r="I217">
        <v>14.830742939375341</v>
      </c>
      <c r="J217">
        <v>14.830742939375341</v>
      </c>
      <c r="K217">
        <v>144</v>
      </c>
      <c r="L217">
        <v>64.178781691427702</v>
      </c>
    </row>
    <row r="218" spans="4:12" x14ac:dyDescent="0.25">
      <c r="D218" s="7">
        <v>41963</v>
      </c>
      <c r="E218" t="s">
        <v>39</v>
      </c>
      <c r="F218" s="5">
        <v>0.47453703703703703</v>
      </c>
      <c r="G218">
        <v>65.084624593146145</v>
      </c>
      <c r="H218">
        <v>65.084624593146145</v>
      </c>
      <c r="I218">
        <v>5.1113949622958899</v>
      </c>
      <c r="J218">
        <v>5.1113949622958899</v>
      </c>
      <c r="K218">
        <v>123</v>
      </c>
      <c r="L218">
        <v>44.118373583987115</v>
      </c>
    </row>
    <row r="219" spans="4:12" x14ac:dyDescent="0.25">
      <c r="D219" s="7">
        <v>41963</v>
      </c>
      <c r="E219" t="s">
        <v>39</v>
      </c>
      <c r="F219" s="5">
        <v>0.47685185185185186</v>
      </c>
      <c r="G219">
        <v>17.258530319668353</v>
      </c>
      <c r="H219">
        <v>64.705715538002551</v>
      </c>
      <c r="I219">
        <v>17.258530319668353</v>
      </c>
      <c r="J219">
        <v>60.400503897108138</v>
      </c>
      <c r="K219">
        <v>151</v>
      </c>
      <c r="L219">
        <v>51.367713777280557</v>
      </c>
    </row>
    <row r="220" spans="4:12" x14ac:dyDescent="0.25">
      <c r="D220" s="7">
        <v>41963</v>
      </c>
      <c r="E220" t="s">
        <v>39</v>
      </c>
      <c r="F220" s="5">
        <v>0.47916666666666669</v>
      </c>
      <c r="G220">
        <v>83.497306634671986</v>
      </c>
      <c r="H220">
        <v>83.497306634671986</v>
      </c>
      <c r="I220">
        <v>38.675244338810444</v>
      </c>
      <c r="J220">
        <v>65.339107299223542</v>
      </c>
      <c r="K220">
        <v>131</v>
      </c>
      <c r="L220">
        <v>65.057756824290934</v>
      </c>
    </row>
    <row r="221" spans="4:12" x14ac:dyDescent="0.25">
      <c r="D221" s="7">
        <v>41963</v>
      </c>
      <c r="E221" t="s">
        <v>39</v>
      </c>
      <c r="F221" s="5">
        <v>0.48148148148148145</v>
      </c>
      <c r="G221">
        <v>51.52492334600538</v>
      </c>
      <c r="H221">
        <v>67.96120572835207</v>
      </c>
      <c r="I221">
        <v>4.6167143853381276</v>
      </c>
      <c r="J221">
        <v>22.792789083905518</v>
      </c>
      <c r="K221">
        <v>267</v>
      </c>
      <c r="L221">
        <v>39.982239928005839</v>
      </c>
    </row>
    <row r="222" spans="4:12" x14ac:dyDescent="0.25">
      <c r="D222" s="7">
        <v>41963</v>
      </c>
      <c r="E222" t="s">
        <v>39</v>
      </c>
      <c r="F222" s="5">
        <v>0.48379629629629628</v>
      </c>
      <c r="G222">
        <v>21.822739229537547</v>
      </c>
      <c r="H222">
        <v>90.07111166138202</v>
      </c>
      <c r="I222">
        <v>21.822739229537547</v>
      </c>
      <c r="J222">
        <v>28.743602219037712</v>
      </c>
      <c r="K222">
        <v>390</v>
      </c>
      <c r="L222">
        <v>50.640234431633964</v>
      </c>
    </row>
    <row r="223" spans="4:12" x14ac:dyDescent="0.25">
      <c r="D223" s="7">
        <v>41963</v>
      </c>
      <c r="E223" t="s">
        <v>39</v>
      </c>
      <c r="F223" s="5">
        <v>0.4861111111111111</v>
      </c>
      <c r="G223">
        <v>74.53240635804832</v>
      </c>
      <c r="H223">
        <v>74.53240635804832</v>
      </c>
      <c r="I223">
        <v>10.3111318545416</v>
      </c>
      <c r="J223">
        <v>10.3111318545416</v>
      </c>
      <c r="K223">
        <v>211</v>
      </c>
      <c r="L223">
        <v>50.074657381035529</v>
      </c>
    </row>
    <row r="224" spans="4:12" x14ac:dyDescent="0.25">
      <c r="D224" s="7">
        <v>41963</v>
      </c>
      <c r="E224" t="s">
        <v>39</v>
      </c>
      <c r="F224" s="5">
        <v>0.48842592592592587</v>
      </c>
      <c r="G224">
        <v>75.724112335592508</v>
      </c>
      <c r="H224">
        <v>82.677438016980886</v>
      </c>
      <c r="I224">
        <v>35.98721029702574</v>
      </c>
      <c r="J224">
        <v>82.677438016980886</v>
      </c>
      <c r="K224">
        <v>299</v>
      </c>
      <c r="L224">
        <v>70.919192381075462</v>
      </c>
    </row>
    <row r="225" spans="4:12" x14ac:dyDescent="0.25">
      <c r="D225" s="7">
        <v>41963</v>
      </c>
      <c r="E225" t="s">
        <v>39</v>
      </c>
      <c r="F225" s="5">
        <v>0.49074074074074076</v>
      </c>
      <c r="G225">
        <v>83.756138407625258</v>
      </c>
      <c r="H225">
        <v>83.756138407625258</v>
      </c>
      <c r="I225">
        <v>13.520232634618878</v>
      </c>
      <c r="J225">
        <v>13.520232634618878</v>
      </c>
      <c r="K225">
        <v>204</v>
      </c>
      <c r="L225">
        <v>60.846147283583001</v>
      </c>
    </row>
    <row r="226" spans="4:12" x14ac:dyDescent="0.25">
      <c r="D226" s="7">
        <v>41963</v>
      </c>
      <c r="E226" t="s">
        <v>39</v>
      </c>
      <c r="F226" s="5">
        <v>0.49305555555555558</v>
      </c>
      <c r="G226">
        <v>25.114070880226791</v>
      </c>
      <c r="H226">
        <v>25.114070880226791</v>
      </c>
      <c r="I226">
        <v>5.7953288545832038</v>
      </c>
      <c r="J226">
        <v>5.7953288545832038</v>
      </c>
      <c r="K226">
        <v>127</v>
      </c>
      <c r="L226">
        <v>15.530757906876035</v>
      </c>
    </row>
    <row r="227" spans="4:12" x14ac:dyDescent="0.25">
      <c r="D227" s="7">
        <v>41963</v>
      </c>
      <c r="E227" t="s">
        <v>39</v>
      </c>
      <c r="F227" s="5">
        <v>0.49537037037037041</v>
      </c>
      <c r="G227">
        <v>28.14773425925523</v>
      </c>
      <c r="H227">
        <v>28.14773425925523</v>
      </c>
      <c r="I227">
        <v>28.14773425925523</v>
      </c>
      <c r="J227">
        <v>28.14773425925523</v>
      </c>
      <c r="K227">
        <v>84</v>
      </c>
      <c r="L227">
        <v>28.14773425925523</v>
      </c>
    </row>
    <row r="228" spans="4:12" x14ac:dyDescent="0.25">
      <c r="D228" s="7">
        <v>41963</v>
      </c>
      <c r="E228" t="s">
        <v>39</v>
      </c>
      <c r="F228" s="5">
        <v>0.49768518518518517</v>
      </c>
      <c r="G228">
        <v>72.512387833558023</v>
      </c>
      <c r="H228">
        <v>72.512387833558023</v>
      </c>
      <c r="I228">
        <v>33.751705824397504</v>
      </c>
      <c r="J228">
        <v>33.751705824397504</v>
      </c>
      <c r="K228">
        <v>171</v>
      </c>
      <c r="L228">
        <v>48.286957469256869</v>
      </c>
    </row>
    <row r="229" spans="4:12" x14ac:dyDescent="0.25">
      <c r="D229" s="7">
        <v>41963</v>
      </c>
      <c r="E229" t="s">
        <v>39</v>
      </c>
      <c r="F229" s="5">
        <v>0.5</v>
      </c>
      <c r="G229">
        <v>25.541270920075476</v>
      </c>
      <c r="H229">
        <v>66.250950144603848</v>
      </c>
      <c r="I229">
        <v>4.7638012329116464</v>
      </c>
      <c r="J229">
        <v>41.519584134221077</v>
      </c>
      <c r="K229">
        <v>548</v>
      </c>
      <c r="L229">
        <v>34.008949085556814</v>
      </c>
    </row>
    <row r="230" spans="4:12" x14ac:dyDescent="0.25">
      <c r="D230" s="7">
        <v>41963</v>
      </c>
      <c r="E230" t="s">
        <v>39</v>
      </c>
      <c r="F230" s="5">
        <v>0.50231481481481477</v>
      </c>
      <c r="G230">
        <v>42.458322993479669</v>
      </c>
      <c r="H230">
        <v>42.458322993479669</v>
      </c>
      <c r="I230">
        <v>42.458322993479669</v>
      </c>
      <c r="J230">
        <v>42.458322993479669</v>
      </c>
      <c r="K230">
        <v>57</v>
      </c>
      <c r="L230">
        <v>42.458322993479669</v>
      </c>
    </row>
    <row r="231" spans="4:12" x14ac:dyDescent="0.25">
      <c r="D231" s="7">
        <v>41963</v>
      </c>
      <c r="E231" t="s">
        <v>39</v>
      </c>
      <c r="F231" s="5">
        <v>0.50462962962962965</v>
      </c>
      <c r="G231">
        <v>59.229931165464222</v>
      </c>
      <c r="H231">
        <v>59.229931165464222</v>
      </c>
      <c r="I231">
        <v>8.1014476716518402</v>
      </c>
      <c r="J231">
        <v>57.488550571724772</v>
      </c>
      <c r="K231">
        <v>164</v>
      </c>
      <c r="L231">
        <v>34.261184976373734</v>
      </c>
    </row>
    <row r="232" spans="4:12" x14ac:dyDescent="0.25">
      <c r="D232" s="7">
        <v>41963</v>
      </c>
      <c r="E232" t="s">
        <v>39</v>
      </c>
      <c r="F232" s="5">
        <v>0.50694444444444442</v>
      </c>
      <c r="G232">
        <v>65.608830307610333</v>
      </c>
      <c r="H232">
        <v>76.798287406563759</v>
      </c>
      <c r="I232">
        <v>31.45287677180022</v>
      </c>
      <c r="J232">
        <v>76.328047923743725</v>
      </c>
      <c r="K232">
        <v>313</v>
      </c>
      <c r="L232">
        <v>60.619546171015919</v>
      </c>
    </row>
    <row r="233" spans="4:12" x14ac:dyDescent="0.25">
      <c r="D233" s="7">
        <v>41963</v>
      </c>
      <c r="E233" t="s">
        <v>39</v>
      </c>
      <c r="F233" s="5">
        <v>0.50925925925925919</v>
      </c>
      <c r="G233">
        <v>46.359159401617944</v>
      </c>
      <c r="H233">
        <v>87.966842390596867</v>
      </c>
      <c r="I233">
        <v>46.359159401617944</v>
      </c>
      <c r="J233">
        <v>82.386271934956312</v>
      </c>
      <c r="K233">
        <v>230</v>
      </c>
      <c r="L233">
        <v>71.193875213680059</v>
      </c>
    </row>
    <row r="234" spans="4:12" x14ac:dyDescent="0.25">
      <c r="D234" s="7">
        <v>41963</v>
      </c>
      <c r="E234" t="s">
        <v>39</v>
      </c>
      <c r="F234" s="5">
        <v>0.51157407407407407</v>
      </c>
      <c r="G234">
        <v>57.989210402593017</v>
      </c>
      <c r="H234">
        <v>95.363561133854091</v>
      </c>
      <c r="I234">
        <v>14.250167598947883</v>
      </c>
      <c r="J234">
        <v>14.250167598947883</v>
      </c>
      <c r="K234">
        <v>314</v>
      </c>
      <c r="L234">
        <v>68.324680349961582</v>
      </c>
    </row>
    <row r="235" spans="4:12" x14ac:dyDescent="0.25">
      <c r="D235" s="7">
        <v>41963</v>
      </c>
      <c r="E235" t="s">
        <v>39</v>
      </c>
      <c r="F235" s="5">
        <v>0.51388888888888895</v>
      </c>
      <c r="G235">
        <v>62.016961676999927</v>
      </c>
      <c r="H235">
        <v>95.100915944203734</v>
      </c>
      <c r="I235">
        <v>12.872955156490207</v>
      </c>
      <c r="J235">
        <v>36.40358611010015</v>
      </c>
      <c r="K235">
        <v>378</v>
      </c>
      <c r="L235">
        <v>47.222286547539099</v>
      </c>
    </row>
    <row r="236" spans="4:12" x14ac:dyDescent="0.25">
      <c r="D236" s="7">
        <v>41963</v>
      </c>
      <c r="E236" t="s">
        <v>39</v>
      </c>
      <c r="F236" s="5">
        <v>0.51620370370370372</v>
      </c>
      <c r="G236">
        <v>72.325121657922864</v>
      </c>
      <c r="H236">
        <v>94.651850732043386</v>
      </c>
      <c r="I236">
        <v>58.631391660310328</v>
      </c>
      <c r="J236">
        <v>94.651850732043386</v>
      </c>
      <c r="K236">
        <v>221</v>
      </c>
      <c r="L236">
        <v>77.027540627289653</v>
      </c>
    </row>
    <row r="237" spans="4:12" x14ac:dyDescent="0.25">
      <c r="D237" s="7">
        <v>41963</v>
      </c>
      <c r="E237" t="s">
        <v>39</v>
      </c>
      <c r="F237" s="5">
        <v>0.51851851851851849</v>
      </c>
      <c r="G237">
        <v>23.514087009243667</v>
      </c>
      <c r="H237">
        <v>24.149810406379402</v>
      </c>
      <c r="I237">
        <v>1.9104801118373871</v>
      </c>
      <c r="J237">
        <v>1.9104801118373871</v>
      </c>
      <c r="K237">
        <v>159</v>
      </c>
      <c r="L237">
        <v>15.12609249062883</v>
      </c>
    </row>
    <row r="238" spans="4:12" x14ac:dyDescent="0.25">
      <c r="D238" s="7">
        <v>41963</v>
      </c>
      <c r="E238" t="s">
        <v>39</v>
      </c>
      <c r="F238" s="5">
        <v>0.52083333333333337</v>
      </c>
      <c r="G238">
        <v>71.59720784984529</v>
      </c>
      <c r="H238">
        <v>71.59720784984529</v>
      </c>
      <c r="I238">
        <v>5.8565048733726144</v>
      </c>
      <c r="J238">
        <v>5.8565048733726144</v>
      </c>
      <c r="K238">
        <v>189</v>
      </c>
      <c r="L238">
        <v>56.87560961746842</v>
      </c>
    </row>
    <row r="239" spans="4:12" x14ac:dyDescent="0.25">
      <c r="D239" s="7">
        <v>41963</v>
      </c>
      <c r="E239" t="s">
        <v>39</v>
      </c>
      <c r="F239" s="5">
        <v>0.52314814814814814</v>
      </c>
      <c r="G239">
        <v>39.542734180577099</v>
      </c>
      <c r="H239">
        <v>39.542734180577099</v>
      </c>
      <c r="I239">
        <v>6.5822285832837224</v>
      </c>
      <c r="J239">
        <v>6.5822285832837224</v>
      </c>
      <c r="K239">
        <v>171</v>
      </c>
      <c r="L239">
        <v>26.113001821965675</v>
      </c>
    </row>
    <row r="240" spans="4:12" x14ac:dyDescent="0.25">
      <c r="D240" s="7">
        <v>41963</v>
      </c>
      <c r="E240" t="s">
        <v>39</v>
      </c>
      <c r="F240" s="5">
        <v>0.52546296296296291</v>
      </c>
      <c r="G240">
        <v>79.080647998489439</v>
      </c>
      <c r="H240">
        <v>85.610062838532031</v>
      </c>
      <c r="I240">
        <v>29.077405040152371</v>
      </c>
      <c r="J240">
        <v>83.272074139676988</v>
      </c>
      <c r="K240">
        <v>303</v>
      </c>
      <c r="L240">
        <v>71.705801617400255</v>
      </c>
    </row>
    <row r="241" spans="4:12" x14ac:dyDescent="0.25">
      <c r="D241" s="7">
        <v>41963</v>
      </c>
      <c r="E241" t="s">
        <v>39</v>
      </c>
      <c r="F241" s="5">
        <v>0.52777777777777779</v>
      </c>
      <c r="G241">
        <v>45.892283343710005</v>
      </c>
      <c r="H241">
        <v>96.290820883587003</v>
      </c>
      <c r="I241">
        <v>14.774401439353824</v>
      </c>
      <c r="J241">
        <v>45.49094692338258</v>
      </c>
      <c r="K241">
        <v>352</v>
      </c>
      <c r="L241">
        <v>61.258534499541959</v>
      </c>
    </row>
    <row r="242" spans="4:12" x14ac:dyDescent="0.25">
      <c r="D242" s="7">
        <v>41963</v>
      </c>
      <c r="E242" t="s">
        <v>39</v>
      </c>
      <c r="F242" s="5">
        <v>0.53009259259259256</v>
      </c>
      <c r="G242">
        <v>97.710802033543587</v>
      </c>
      <c r="H242">
        <v>97.710802033543587</v>
      </c>
      <c r="I242">
        <v>36.993564595468342</v>
      </c>
      <c r="J242">
        <v>36.993564595468342</v>
      </c>
      <c r="K242">
        <v>30</v>
      </c>
      <c r="L242">
        <v>82.690436382933214</v>
      </c>
    </row>
    <row r="243" spans="4:12" x14ac:dyDescent="0.25">
      <c r="D243" s="7">
        <v>41963</v>
      </c>
      <c r="E243" t="s">
        <v>39</v>
      </c>
      <c r="F243" s="5">
        <v>0.53240740740740744</v>
      </c>
      <c r="G243">
        <v>45.012789545580745</v>
      </c>
      <c r="H243">
        <v>75.033744005486369</v>
      </c>
      <c r="I243">
        <v>24.850986083038151</v>
      </c>
      <c r="J243">
        <v>49.993857298977673</v>
      </c>
      <c r="K243">
        <v>180</v>
      </c>
      <c r="L243">
        <v>48.770490906511746</v>
      </c>
    </row>
    <row r="244" spans="4:12" x14ac:dyDescent="0.25">
      <c r="D244" s="7">
        <v>41963</v>
      </c>
      <c r="E244" t="s">
        <v>39</v>
      </c>
      <c r="F244" s="5">
        <v>0.53472222222222221</v>
      </c>
      <c r="G244">
        <v>69.888483895920217</v>
      </c>
      <c r="H244">
        <v>69.888483895920217</v>
      </c>
      <c r="I244">
        <v>10.930786188691854</v>
      </c>
      <c r="J244">
        <v>10.930786188691854</v>
      </c>
      <c r="K244">
        <v>155</v>
      </c>
      <c r="L244">
        <v>36.334012422950998</v>
      </c>
    </row>
    <row r="245" spans="4:12" x14ac:dyDescent="0.25">
      <c r="D245" s="7">
        <v>41963</v>
      </c>
      <c r="E245" t="s">
        <v>39</v>
      </c>
      <c r="F245" s="5">
        <v>0.53703703703703709</v>
      </c>
      <c r="G245">
        <v>41.432513785548508</v>
      </c>
      <c r="H245">
        <v>41.432513785548508</v>
      </c>
      <c r="I245">
        <v>41.432513785548508</v>
      </c>
      <c r="J245">
        <v>41.432513785548508</v>
      </c>
      <c r="K245">
        <v>84</v>
      </c>
      <c r="L245">
        <v>41.432513785548508</v>
      </c>
    </row>
    <row r="246" spans="4:12" x14ac:dyDescent="0.25">
      <c r="D246" s="7">
        <v>41963</v>
      </c>
      <c r="E246" t="s">
        <v>39</v>
      </c>
      <c r="F246" s="5">
        <v>0.53935185185185186</v>
      </c>
      <c r="G246">
        <v>71.675550588406622</v>
      </c>
      <c r="H246">
        <v>83.146280865184963</v>
      </c>
      <c r="I246">
        <v>23.869485035538673</v>
      </c>
      <c r="J246">
        <v>62.182501563802361</v>
      </c>
      <c r="K246">
        <v>247</v>
      </c>
      <c r="L246">
        <v>52.126651716339381</v>
      </c>
    </row>
    <row r="247" spans="4:12" x14ac:dyDescent="0.25">
      <c r="D247" s="7">
        <v>41963</v>
      </c>
      <c r="E247" t="s">
        <v>39</v>
      </c>
      <c r="F247" s="5">
        <v>0.54166666666666663</v>
      </c>
      <c r="G247">
        <v>64.291415875777602</v>
      </c>
      <c r="H247">
        <v>64.291415875777602</v>
      </c>
      <c r="I247">
        <v>49.783885525539517</v>
      </c>
      <c r="J247">
        <v>49.783885525539517</v>
      </c>
      <c r="K247">
        <v>94</v>
      </c>
      <c r="L247">
        <v>57.925819717545778</v>
      </c>
    </row>
    <row r="248" spans="4:12" x14ac:dyDescent="0.25">
      <c r="D248" s="7">
        <v>41963</v>
      </c>
      <c r="E248" t="s">
        <v>39</v>
      </c>
      <c r="F248" s="5">
        <v>0.54398148148148151</v>
      </c>
      <c r="G248">
        <v>60.864972905255854</v>
      </c>
      <c r="H248">
        <v>75.617901142686605</v>
      </c>
      <c r="I248">
        <v>47.634150646626949</v>
      </c>
      <c r="J248">
        <v>75.617901142686605</v>
      </c>
      <c r="K248">
        <v>224</v>
      </c>
      <c r="L248">
        <v>62.712217686930671</v>
      </c>
    </row>
    <row r="249" spans="4:12" x14ac:dyDescent="0.25">
      <c r="D249" s="7">
        <v>41963</v>
      </c>
      <c r="E249" t="s">
        <v>39</v>
      </c>
      <c r="F249" s="5">
        <v>0.54629629629629628</v>
      </c>
      <c r="G249">
        <v>21.968667628243566</v>
      </c>
      <c r="H249">
        <v>83.064568997360766</v>
      </c>
      <c r="I249">
        <v>21.968667628243566</v>
      </c>
      <c r="J249">
        <v>83.064568997360766</v>
      </c>
      <c r="K249">
        <v>109</v>
      </c>
      <c r="L249">
        <v>62.886106159854165</v>
      </c>
    </row>
    <row r="250" spans="4:12" x14ac:dyDescent="0.25">
      <c r="D250" s="7">
        <v>41963</v>
      </c>
      <c r="E250" t="s">
        <v>39</v>
      </c>
      <c r="F250" s="5">
        <v>0.54861111111111105</v>
      </c>
      <c r="G250">
        <v>7.0689383195713162</v>
      </c>
      <c r="H250">
        <v>27.606851072050631</v>
      </c>
      <c r="I250">
        <v>7.0689383195713162</v>
      </c>
      <c r="J250">
        <v>27.606851072050631</v>
      </c>
      <c r="K250">
        <v>125</v>
      </c>
      <c r="L250">
        <v>13.641070400364697</v>
      </c>
    </row>
    <row r="251" spans="4:12" x14ac:dyDescent="0.25">
      <c r="D251" s="7">
        <v>41963</v>
      </c>
      <c r="E251" t="s">
        <v>39</v>
      </c>
      <c r="F251" s="5">
        <v>0.55092592592592593</v>
      </c>
      <c r="G251">
        <v>30.609597149305046</v>
      </c>
      <c r="H251">
        <v>67.794673936441541</v>
      </c>
      <c r="I251">
        <v>19.902292406186461</v>
      </c>
      <c r="J251">
        <v>19.902292406186461</v>
      </c>
      <c r="K251">
        <v>184</v>
      </c>
      <c r="L251">
        <v>40.364186045000046</v>
      </c>
    </row>
    <row r="252" spans="4:12" x14ac:dyDescent="0.25">
      <c r="D252" s="7">
        <v>41963</v>
      </c>
      <c r="E252" t="s">
        <v>39</v>
      </c>
      <c r="F252" s="5">
        <v>0.55324074074074081</v>
      </c>
      <c r="G252">
        <v>15.992403705604374</v>
      </c>
      <c r="H252">
        <v>89.67364055570215</v>
      </c>
      <c r="I252">
        <v>5.9030140284448862</v>
      </c>
      <c r="J252">
        <v>5.9030140284448862</v>
      </c>
      <c r="K252">
        <v>217</v>
      </c>
      <c r="L252">
        <v>20.510764416706348</v>
      </c>
    </row>
    <row r="253" spans="4:12" x14ac:dyDescent="0.25">
      <c r="D253" s="7">
        <v>41963</v>
      </c>
      <c r="E253" t="s">
        <v>39</v>
      </c>
      <c r="F253" s="5">
        <v>0.55555555555555558</v>
      </c>
      <c r="G253">
        <v>88.628201629035175</v>
      </c>
      <c r="H253">
        <v>88.628201629035175</v>
      </c>
      <c r="I253">
        <v>56.3327795593068</v>
      </c>
      <c r="J253">
        <v>56.3327795593068</v>
      </c>
      <c r="K253">
        <v>138</v>
      </c>
      <c r="L253">
        <v>70.608292213317171</v>
      </c>
    </row>
    <row r="254" spans="4:12" x14ac:dyDescent="0.25">
      <c r="D254" s="7">
        <v>41963</v>
      </c>
      <c r="E254" t="s">
        <v>39</v>
      </c>
      <c r="F254" s="5">
        <v>0.55787037037037035</v>
      </c>
      <c r="G254">
        <v>44.227112596854568</v>
      </c>
      <c r="H254">
        <v>99.191182246431708</v>
      </c>
      <c r="I254">
        <v>44.227112596854568</v>
      </c>
      <c r="J254">
        <v>99.191182246431708</v>
      </c>
      <c r="K254">
        <v>78</v>
      </c>
      <c r="L254">
        <v>56.096840201196478</v>
      </c>
    </row>
    <row r="255" spans="4:12" x14ac:dyDescent="0.25">
      <c r="D255" s="7">
        <v>41963</v>
      </c>
      <c r="E255" t="s">
        <v>39</v>
      </c>
      <c r="F255" s="5">
        <v>0.56018518518518523</v>
      </c>
      <c r="G255">
        <v>77.817318099550903</v>
      </c>
      <c r="H255">
        <v>99.759132554754615</v>
      </c>
      <c r="I255">
        <v>24.910994223318994</v>
      </c>
      <c r="J255">
        <v>24.910994223318994</v>
      </c>
      <c r="K255">
        <v>146</v>
      </c>
      <c r="L255">
        <v>64.1019717195352</v>
      </c>
    </row>
    <row r="256" spans="4:12" x14ac:dyDescent="0.25">
      <c r="D256" s="7">
        <v>41963</v>
      </c>
      <c r="E256" t="s">
        <v>39</v>
      </c>
      <c r="F256" s="5">
        <v>0.5625</v>
      </c>
      <c r="G256">
        <v>84.758742875419557</v>
      </c>
      <c r="H256">
        <v>84.758742875419557</v>
      </c>
      <c r="I256">
        <v>84.758742875419557</v>
      </c>
      <c r="J256">
        <v>84.758742875419557</v>
      </c>
      <c r="K256">
        <v>32</v>
      </c>
      <c r="L256">
        <v>84.758742875419557</v>
      </c>
    </row>
    <row r="257" spans="4:12" x14ac:dyDescent="0.25">
      <c r="D257" s="7">
        <v>41963</v>
      </c>
      <c r="E257" t="s">
        <v>39</v>
      </c>
      <c r="F257" s="5">
        <v>0.56481481481481477</v>
      </c>
      <c r="G257">
        <v>90.312813641503453</v>
      </c>
      <c r="H257">
        <v>90.312813641503453</v>
      </c>
      <c r="I257">
        <v>38.291578134521842</v>
      </c>
      <c r="J257">
        <v>41.391157219186425</v>
      </c>
      <c r="K257">
        <v>223</v>
      </c>
      <c r="L257">
        <v>46.557605509111667</v>
      </c>
    </row>
    <row r="258" spans="4:12" x14ac:dyDescent="0.25">
      <c r="D258" s="7">
        <v>41963</v>
      </c>
      <c r="E258" t="s">
        <v>39</v>
      </c>
      <c r="F258" s="5">
        <v>0.56712962962962965</v>
      </c>
      <c r="G258">
        <v>97.374091017991304</v>
      </c>
      <c r="H258">
        <v>97.374091017991304</v>
      </c>
      <c r="I258">
        <v>65.355385118164122</v>
      </c>
      <c r="J258">
        <v>65.355385118164122</v>
      </c>
      <c r="K258">
        <v>239</v>
      </c>
      <c r="L258">
        <v>78.159839463143541</v>
      </c>
    </row>
    <row r="259" spans="4:12" x14ac:dyDescent="0.25">
      <c r="D259" s="7">
        <v>41963</v>
      </c>
      <c r="E259" t="s">
        <v>39</v>
      </c>
      <c r="F259" s="5">
        <v>0.56944444444444442</v>
      </c>
      <c r="G259">
        <v>10.622169217094779</v>
      </c>
      <c r="H259">
        <v>50.238356366753578</v>
      </c>
      <c r="I259">
        <v>10.622169217094779</v>
      </c>
      <c r="J259">
        <v>33.917751023545861</v>
      </c>
      <c r="K259">
        <v>89</v>
      </c>
      <c r="L259">
        <v>43.034896451791518</v>
      </c>
    </row>
    <row r="260" spans="4:12" x14ac:dyDescent="0.25">
      <c r="D260" s="7">
        <v>41963</v>
      </c>
      <c r="E260" t="s">
        <v>39</v>
      </c>
      <c r="F260" s="5">
        <v>0.57175925925925919</v>
      </c>
      <c r="G260">
        <v>75.670383265241981</v>
      </c>
      <c r="H260">
        <v>94.796479865908623</v>
      </c>
      <c r="I260">
        <v>1.6370637575164437</v>
      </c>
      <c r="J260">
        <v>94.796479865908623</v>
      </c>
      <c r="K260">
        <v>154</v>
      </c>
      <c r="L260">
        <v>78.411026137530229</v>
      </c>
    </row>
    <row r="261" spans="4:12" x14ac:dyDescent="0.25">
      <c r="D261" s="7">
        <v>41963</v>
      </c>
      <c r="E261" t="s">
        <v>39</v>
      </c>
      <c r="F261" s="5">
        <v>0.57407407407407407</v>
      </c>
      <c r="G261">
        <v>71.33780384901911</v>
      </c>
      <c r="H261">
        <v>71.33780384901911</v>
      </c>
      <c r="I261">
        <v>17.206522612832487</v>
      </c>
      <c r="J261">
        <v>36.926543223671615</v>
      </c>
      <c r="K261">
        <v>439</v>
      </c>
      <c r="L261">
        <v>45.860265072324822</v>
      </c>
    </row>
    <row r="262" spans="4:12" x14ac:dyDescent="0.25">
      <c r="D262" s="7">
        <v>41963</v>
      </c>
      <c r="E262" t="s">
        <v>39</v>
      </c>
      <c r="F262" s="5">
        <v>0.57638888888888895</v>
      </c>
      <c r="G262">
        <v>82.48110197018832</v>
      </c>
      <c r="H262">
        <v>89.429653924889863</v>
      </c>
      <c r="I262">
        <v>0.90377070009708405</v>
      </c>
      <c r="J262">
        <v>0.90377070009708405</v>
      </c>
      <c r="K262">
        <v>196</v>
      </c>
      <c r="L262">
        <v>61.254813340587582</v>
      </c>
    </row>
    <row r="263" spans="4:12" x14ac:dyDescent="0.25">
      <c r="D263" s="7">
        <v>41963</v>
      </c>
      <c r="E263" t="s">
        <v>39</v>
      </c>
      <c r="F263" s="5">
        <v>0.57870370370370372</v>
      </c>
      <c r="G263">
        <v>66.554414131678641</v>
      </c>
      <c r="H263">
        <v>66.554414131678641</v>
      </c>
      <c r="I263">
        <v>20.979104121215641</v>
      </c>
      <c r="J263">
        <v>20.979104121215641</v>
      </c>
      <c r="K263">
        <v>50</v>
      </c>
      <c r="L263">
        <v>34.651697124354541</v>
      </c>
    </row>
    <row r="264" spans="4:12" x14ac:dyDescent="0.25">
      <c r="D264" s="7">
        <v>41963</v>
      </c>
      <c r="E264" t="s">
        <v>39</v>
      </c>
      <c r="F264" s="5">
        <v>0.58101851851851849</v>
      </c>
      <c r="G264">
        <v>65.227964776568115</v>
      </c>
      <c r="H264">
        <v>71.434569684788585</v>
      </c>
      <c r="I264">
        <v>1.3048555003479123</v>
      </c>
      <c r="J264">
        <v>18.812822387553751</v>
      </c>
      <c r="K264">
        <v>285</v>
      </c>
      <c r="L264">
        <v>36.233462875529206</v>
      </c>
    </row>
    <row r="265" spans="4:12" x14ac:dyDescent="0.25">
      <c r="D265" s="7">
        <v>41963</v>
      </c>
      <c r="E265" t="s">
        <v>39</v>
      </c>
      <c r="F265" s="5">
        <v>0.58333333333333337</v>
      </c>
      <c r="G265">
        <v>37.299816473387182</v>
      </c>
      <c r="H265">
        <v>49.369076220318675</v>
      </c>
      <c r="I265">
        <v>37.299816473387182</v>
      </c>
      <c r="J265">
        <v>49.369076220318675</v>
      </c>
      <c r="K265">
        <v>82</v>
      </c>
      <c r="L265">
        <v>44.511935102651123</v>
      </c>
    </row>
    <row r="266" spans="4:12" x14ac:dyDescent="0.25">
      <c r="D266" s="7">
        <v>41963</v>
      </c>
      <c r="E266" t="s">
        <v>39</v>
      </c>
      <c r="F266" s="5">
        <v>0.58564814814814814</v>
      </c>
      <c r="G266">
        <v>34.443999058566988</v>
      </c>
      <c r="H266">
        <v>99.075163644738495</v>
      </c>
      <c r="I266">
        <v>25.092813256196678</v>
      </c>
      <c r="J266">
        <v>99.075163644738495</v>
      </c>
      <c r="K266">
        <v>283</v>
      </c>
      <c r="L266">
        <v>51.549109430529519</v>
      </c>
    </row>
    <row r="267" spans="4:12" x14ac:dyDescent="0.25">
      <c r="D267" s="7">
        <v>41963</v>
      </c>
      <c r="E267" t="s">
        <v>39</v>
      </c>
      <c r="F267" s="5">
        <v>0.58796296296296291</v>
      </c>
      <c r="G267">
        <v>28.529479773715138</v>
      </c>
      <c r="H267">
        <v>64.671773975715041</v>
      </c>
      <c r="I267">
        <v>19.474670686759055</v>
      </c>
      <c r="J267">
        <v>64.671773975715041</v>
      </c>
      <c r="K267">
        <v>134</v>
      </c>
      <c r="L267">
        <v>50.979678526194071</v>
      </c>
    </row>
    <row r="268" spans="4:12" x14ac:dyDescent="0.25">
      <c r="D268" s="7">
        <v>41963</v>
      </c>
      <c r="E268" t="s">
        <v>39</v>
      </c>
      <c r="F268" s="5">
        <v>0.59027777777777779</v>
      </c>
      <c r="G268">
        <v>42.181675974279642</v>
      </c>
      <c r="H268">
        <v>42.181675974279642</v>
      </c>
      <c r="I268">
        <v>42.181675974279642</v>
      </c>
      <c r="J268">
        <v>42.181675974279642</v>
      </c>
      <c r="K268">
        <v>95</v>
      </c>
      <c r="L268">
        <v>42.181675974279642</v>
      </c>
    </row>
    <row r="269" spans="4:12" x14ac:dyDescent="0.25">
      <c r="D269" s="7">
        <v>41963</v>
      </c>
      <c r="E269" t="s">
        <v>39</v>
      </c>
      <c r="F269" s="5">
        <v>0.59259259259259256</v>
      </c>
      <c r="G269">
        <v>39.846937195397913</v>
      </c>
      <c r="H269">
        <v>62.388333072885871</v>
      </c>
      <c r="I269">
        <v>18.32462081220001</v>
      </c>
      <c r="J269">
        <v>62.388333072885871</v>
      </c>
      <c r="K269">
        <v>180</v>
      </c>
      <c r="L269">
        <v>41.473575264293082</v>
      </c>
    </row>
    <row r="270" spans="4:12" x14ac:dyDescent="0.25">
      <c r="D270" s="7">
        <v>41963</v>
      </c>
      <c r="E270" t="s">
        <v>39</v>
      </c>
      <c r="F270" s="5">
        <v>0.59490740740740744</v>
      </c>
      <c r="G270">
        <v>19.208227843046188</v>
      </c>
      <c r="H270">
        <v>90.52309044636786</v>
      </c>
      <c r="I270">
        <v>3.3942219335585833</v>
      </c>
      <c r="J270">
        <v>3.3942219335585833</v>
      </c>
      <c r="K270">
        <v>111</v>
      </c>
      <c r="L270">
        <v>37.800828941367769</v>
      </c>
    </row>
    <row r="271" spans="4:12" x14ac:dyDescent="0.25">
      <c r="D271" s="7">
        <v>41963</v>
      </c>
      <c r="E271" t="s">
        <v>39</v>
      </c>
      <c r="F271" s="5">
        <v>0.59722222222222221</v>
      </c>
      <c r="G271">
        <v>33.567024953663349</v>
      </c>
      <c r="H271">
        <v>97.434038273058832</v>
      </c>
      <c r="I271">
        <v>0.87698001880198717</v>
      </c>
      <c r="J271">
        <v>74.940303107723594</v>
      </c>
      <c r="K271">
        <v>261</v>
      </c>
      <c r="L271">
        <v>49.568458332259105</v>
      </c>
    </row>
  </sheetData>
  <dataConsolidate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tnOHLC">
              <controlPr defaultSize="0" print="0" autoFill="0" autoPict="0" macro="[0]!getOHLCBtnClick">
                <anchor moveWithCells="1" sizeWithCells="1">
                  <from>
                    <xdr:col>3</xdr:col>
                    <xdr:colOff>133350</xdr:colOff>
                    <xdr:row>0</xdr:row>
                    <xdr:rowOff>152400</xdr:rowOff>
                  </from>
                  <to>
                    <xdr:col>5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84"/>
  <sheetViews>
    <sheetView workbookViewId="0">
      <selection activeCell="B37" sqref="B37"/>
    </sheetView>
  </sheetViews>
  <sheetFormatPr defaultRowHeight="15" x14ac:dyDescent="0.25"/>
  <cols>
    <col min="1" max="1" width="15.85546875" bestFit="1" customWidth="1"/>
    <col min="2" max="2" width="10.7109375" bestFit="1" customWidth="1"/>
    <col min="3" max="3" width="20.5703125" bestFit="1" customWidth="1"/>
  </cols>
  <sheetData>
    <row r="2" spans="1:1" x14ac:dyDescent="0.25">
      <c r="A2" s="6"/>
    </row>
    <row r="3" spans="1:1" x14ac:dyDescent="0.25">
      <c r="A3" s="6"/>
    </row>
    <row r="4" spans="1:1" x14ac:dyDescent="0.25">
      <c r="A4" s="6"/>
    </row>
    <row r="5" spans="1:1" x14ac:dyDescent="0.25">
      <c r="A5" s="6"/>
    </row>
    <row r="6" spans="1:1" x14ac:dyDescent="0.25">
      <c r="A6" s="6"/>
    </row>
    <row r="7" spans="1:1" x14ac:dyDescent="0.25">
      <c r="A7" s="6"/>
    </row>
    <row r="8" spans="1:1" x14ac:dyDescent="0.25">
      <c r="A8" s="6"/>
    </row>
    <row r="9" spans="1:1" x14ac:dyDescent="0.25">
      <c r="A9" s="6"/>
    </row>
    <row r="10" spans="1:1" x14ac:dyDescent="0.25">
      <c r="A10" s="6"/>
    </row>
    <row r="11" spans="1:1" x14ac:dyDescent="0.25">
      <c r="A11" s="6"/>
    </row>
    <row r="12" spans="1:1" x14ac:dyDescent="0.25">
      <c r="A12" s="6"/>
    </row>
    <row r="13" spans="1:1" x14ac:dyDescent="0.25">
      <c r="A13" s="6"/>
    </row>
    <row r="14" spans="1:1" x14ac:dyDescent="0.25">
      <c r="A14" s="6"/>
    </row>
    <row r="15" spans="1:1" x14ac:dyDescent="0.25">
      <c r="A15" s="6"/>
    </row>
    <row r="16" spans="1:1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5" x14ac:dyDescent="0.25">
      <c r="A65" s="6"/>
    </row>
    <row r="66" spans="1:5" x14ac:dyDescent="0.25">
      <c r="A66" s="6"/>
    </row>
    <row r="67" spans="1:5" x14ac:dyDescent="0.25">
      <c r="A67" s="6"/>
    </row>
    <row r="68" spans="1:5" x14ac:dyDescent="0.25">
      <c r="A68" s="6"/>
    </row>
    <row r="69" spans="1:5" x14ac:dyDescent="0.25">
      <c r="A69" s="6"/>
    </row>
    <row r="70" spans="1:5" x14ac:dyDescent="0.25">
      <c r="A70" s="6"/>
    </row>
    <row r="71" spans="1:5" x14ac:dyDescent="0.25">
      <c r="A71" s="6"/>
    </row>
    <row r="72" spans="1:5" x14ac:dyDescent="0.25">
      <c r="A72" s="6"/>
    </row>
    <row r="73" spans="1:5" x14ac:dyDescent="0.25">
      <c r="A73" s="6"/>
    </row>
    <row r="74" spans="1:5" x14ac:dyDescent="0.25">
      <c r="A74" s="6"/>
    </row>
    <row r="75" spans="1:5" x14ac:dyDescent="0.25">
      <c r="A75" s="6"/>
    </row>
    <row r="76" spans="1:5" x14ac:dyDescent="0.25">
      <c r="A76" s="6"/>
    </row>
    <row r="77" spans="1:5" x14ac:dyDescent="0.25">
      <c r="A77" s="6"/>
    </row>
    <row r="78" spans="1:5" x14ac:dyDescent="0.25">
      <c r="A78" s="6"/>
    </row>
    <row r="79" spans="1:5" x14ac:dyDescent="0.25">
      <c r="A79" s="6"/>
      <c r="E79" s="8"/>
    </row>
    <row r="80" spans="1:5" x14ac:dyDescent="0.25">
      <c r="A80" s="6"/>
    </row>
    <row r="81" spans="1:5" x14ac:dyDescent="0.25">
      <c r="A81" s="6"/>
      <c r="E81" s="8"/>
    </row>
    <row r="82" spans="1:5" x14ac:dyDescent="0.25">
      <c r="A82" s="6"/>
    </row>
    <row r="83" spans="1:5" x14ac:dyDescent="0.25">
      <c r="A83" s="6"/>
      <c r="E83" s="8"/>
    </row>
    <row r="84" spans="1:5" x14ac:dyDescent="0.25">
      <c r="A84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kdb+ connection</vt:lpstr>
      <vt:lpstr>VBA</vt:lpstr>
      <vt:lpstr>OHLC</vt:lpstr>
      <vt:lpstr>log</vt:lpstr>
      <vt:lpstr>'kdb+ connection'!nrApAlias</vt:lpstr>
      <vt:lpstr>'kdb+ connection'!nrApConnection</vt:lpstr>
      <vt:lpstr>'kdb+ connection'!nrApHost</vt:lpstr>
      <vt:lpstr>'kdb+ connection'!nrApPassword</vt:lpstr>
      <vt:lpstr>'kdb+ connection'!nrApPort</vt:lpstr>
      <vt:lpstr>'kdb+ connection'!nrApUser</vt:lpstr>
      <vt:lpstr>OHLC!nrEndTime</vt:lpstr>
      <vt:lpstr>VBA!nrQuery</vt:lpstr>
      <vt:lpstr>'kdb+ connection'!nrRdbAlias</vt:lpstr>
      <vt:lpstr>'kdb+ connection'!nrRdbConnection</vt:lpstr>
      <vt:lpstr>'kdb+ connection'!nrRdbHost</vt:lpstr>
      <vt:lpstr>'kdb+ connection'!nrRdbPassword</vt:lpstr>
      <vt:lpstr>'kdb+ connection'!nrRdbPort</vt:lpstr>
      <vt:lpstr>'kdb+ connection'!nrRdbUser</vt:lpstr>
      <vt:lpstr>OHLC!nrStartTime</vt:lpstr>
      <vt:lpstr>OHLC!nrTimeInterval</vt:lpstr>
      <vt:lpstr>nsSymbol</vt:lpstr>
    </vt:vector>
  </TitlesOfParts>
  <Company>DEVNET_WRO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Piotr Szawlis</dc:creator>
  <cp:lastModifiedBy>Piotr Szawlis</cp:lastModifiedBy>
  <dcterms:created xsi:type="dcterms:W3CDTF">2014-09-23T11:37:03Z</dcterms:created>
  <dcterms:modified xsi:type="dcterms:W3CDTF">2014-11-20T14:25:34Z</dcterms:modified>
</cp:coreProperties>
</file>
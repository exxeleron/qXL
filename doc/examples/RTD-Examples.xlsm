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ev237\Documents\GitHub\qXL-priv\doc\examples\"/>
    </mc:Choice>
  </mc:AlternateContent>
  <bookViews>
    <workbookView xWindow="0" yWindow="0" windowWidth="15330" windowHeight="7680"/>
  </bookViews>
  <sheets>
    <sheet name="Exampl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" i="1" l="1"/>
  <c r="F30" i="1"/>
  <c r="F46" i="1"/>
  <c r="F62" i="1"/>
  <c r="F78" i="1"/>
  <c r="F94" i="1"/>
  <c r="F110" i="1"/>
  <c r="F27" i="1"/>
  <c r="F43" i="1"/>
  <c r="F59" i="1"/>
  <c r="F75" i="1"/>
  <c r="F91" i="1"/>
  <c r="F107" i="1"/>
  <c r="F24" i="1"/>
  <c r="F40" i="1"/>
  <c r="F56" i="1"/>
  <c r="F72" i="1"/>
  <c r="F88" i="1"/>
  <c r="F104" i="1"/>
  <c r="F21" i="1"/>
  <c r="F37" i="1"/>
  <c r="F53" i="1"/>
  <c r="F69" i="1"/>
  <c r="F85" i="1"/>
  <c r="F101" i="1"/>
  <c r="E12" i="1"/>
  <c r="E28" i="1"/>
  <c r="E44" i="1"/>
  <c r="E60" i="1"/>
  <c r="E76" i="1"/>
  <c r="E92" i="1"/>
  <c r="E108" i="1"/>
  <c r="E25" i="1"/>
  <c r="E41" i="1"/>
  <c r="E57" i="1"/>
  <c r="E73" i="1"/>
  <c r="E89" i="1"/>
  <c r="E105" i="1"/>
  <c r="E22" i="1"/>
  <c r="E38" i="1"/>
  <c r="E54" i="1"/>
  <c r="E70" i="1"/>
  <c r="E86" i="1"/>
  <c r="E102" i="1"/>
  <c r="E19" i="1"/>
  <c r="E35" i="1"/>
  <c r="E51" i="1"/>
  <c r="E67" i="1"/>
  <c r="E83" i="1"/>
  <c r="E99" i="1"/>
  <c r="B7" i="1"/>
  <c r="B46" i="1"/>
  <c r="B110" i="1"/>
  <c r="B91" i="1"/>
  <c r="B52" i="1"/>
  <c r="B17" i="1"/>
  <c r="B81" i="1"/>
  <c r="B34" i="1"/>
  <c r="B98" i="1"/>
  <c r="B63" i="1"/>
  <c r="B40" i="1"/>
  <c r="B104" i="1"/>
  <c r="B69" i="1"/>
  <c r="B38" i="1"/>
  <c r="B102" i="1"/>
  <c r="B67" i="1"/>
  <c r="B28" i="1"/>
  <c r="B92" i="1"/>
  <c r="B57" i="1"/>
  <c r="B26" i="1"/>
  <c r="B90" i="1"/>
  <c r="B55" i="1"/>
  <c r="B16" i="1"/>
  <c r="B80" i="1"/>
  <c r="B45" i="1"/>
  <c r="B109" i="1"/>
  <c r="F18" i="1"/>
  <c r="F34" i="1"/>
  <c r="F50" i="1"/>
  <c r="F66" i="1"/>
  <c r="F82" i="1"/>
  <c r="F98" i="1"/>
  <c r="F15" i="1"/>
  <c r="F31" i="1"/>
  <c r="F47" i="1"/>
  <c r="F63" i="1"/>
  <c r="F79" i="1"/>
  <c r="F95" i="1"/>
  <c r="F12" i="1"/>
  <c r="F28" i="1"/>
  <c r="F44" i="1"/>
  <c r="F60" i="1"/>
  <c r="F76" i="1"/>
  <c r="F92" i="1"/>
  <c r="F108" i="1"/>
  <c r="F25" i="1"/>
  <c r="F41" i="1"/>
  <c r="F57" i="1"/>
  <c r="F73" i="1"/>
  <c r="F89" i="1"/>
  <c r="F105" i="1"/>
  <c r="E16" i="1"/>
  <c r="E32" i="1"/>
  <c r="E48" i="1"/>
  <c r="E64" i="1"/>
  <c r="E80" i="1"/>
  <c r="E96" i="1"/>
  <c r="E13" i="1"/>
  <c r="E29" i="1"/>
  <c r="E45" i="1"/>
  <c r="E61" i="1"/>
  <c r="E77" i="1"/>
  <c r="E93" i="1"/>
  <c r="E109" i="1"/>
  <c r="E26" i="1"/>
  <c r="E42" i="1"/>
  <c r="E58" i="1"/>
  <c r="E74" i="1"/>
  <c r="E90" i="1"/>
  <c r="E106" i="1"/>
  <c r="E23" i="1"/>
  <c r="E39" i="1"/>
  <c r="E55" i="1"/>
  <c r="E71" i="1"/>
  <c r="E87" i="1"/>
  <c r="E103" i="1"/>
  <c r="B43" i="1"/>
  <c r="B62" i="1"/>
  <c r="B27" i="1"/>
  <c r="B107" i="1"/>
  <c r="B68" i="1"/>
  <c r="B33" i="1"/>
  <c r="B97" i="1"/>
  <c r="B50" i="1"/>
  <c r="B15" i="1"/>
  <c r="B79" i="1"/>
  <c r="B56" i="1"/>
  <c r="B21" i="1"/>
  <c r="B85" i="1"/>
  <c r="B54" i="1"/>
  <c r="B19" i="1"/>
  <c r="B83" i="1"/>
  <c r="B44" i="1"/>
  <c r="B108" i="1"/>
  <c r="B73" i="1"/>
  <c r="B42" i="1"/>
  <c r="B106" i="1"/>
  <c r="B71" i="1"/>
  <c r="B32" i="1"/>
  <c r="B96" i="1"/>
  <c r="B61" i="1"/>
  <c r="F22" i="1"/>
  <c r="F38" i="1"/>
  <c r="F54" i="1"/>
  <c r="F70" i="1"/>
  <c r="F86" i="1"/>
  <c r="F102" i="1"/>
  <c r="F19" i="1"/>
  <c r="F35" i="1"/>
  <c r="F51" i="1"/>
  <c r="F67" i="1"/>
  <c r="F83" i="1"/>
  <c r="F99" i="1"/>
  <c r="F16" i="1"/>
  <c r="F32" i="1"/>
  <c r="F48" i="1"/>
  <c r="F64" i="1"/>
  <c r="F80" i="1"/>
  <c r="F96" i="1"/>
  <c r="F13" i="1"/>
  <c r="F29" i="1"/>
  <c r="F45" i="1"/>
  <c r="F61" i="1"/>
  <c r="F77" i="1"/>
  <c r="F93" i="1"/>
  <c r="F109" i="1"/>
  <c r="E20" i="1"/>
  <c r="E36" i="1"/>
  <c r="E52" i="1"/>
  <c r="E68" i="1"/>
  <c r="E84" i="1"/>
  <c r="E100" i="1"/>
  <c r="E17" i="1"/>
  <c r="E33" i="1"/>
  <c r="E49" i="1"/>
  <c r="E65" i="1"/>
  <c r="E81" i="1"/>
  <c r="E97" i="1"/>
  <c r="E14" i="1"/>
  <c r="E30" i="1"/>
  <c r="E46" i="1"/>
  <c r="E62" i="1"/>
  <c r="E78" i="1"/>
  <c r="E94" i="1"/>
  <c r="E110" i="1"/>
  <c r="E27" i="1"/>
  <c r="E43" i="1"/>
  <c r="E59" i="1"/>
  <c r="E75" i="1"/>
  <c r="E91" i="1"/>
  <c r="E107" i="1"/>
  <c r="B14" i="1"/>
  <c r="B78" i="1"/>
  <c r="B59" i="1"/>
  <c r="B20" i="1"/>
  <c r="B84" i="1"/>
  <c r="B49" i="1"/>
  <c r="B11" i="1"/>
  <c r="B66" i="1"/>
  <c r="B31" i="1"/>
  <c r="B95" i="1"/>
  <c r="B72" i="1"/>
  <c r="B37" i="1"/>
  <c r="B101" i="1"/>
  <c r="B70" i="1"/>
  <c r="B35" i="1"/>
  <c r="B99" i="1"/>
  <c r="B60" i="1"/>
  <c r="B25" i="1"/>
  <c r="B89" i="1"/>
  <c r="B58" i="1"/>
  <c r="B23" i="1"/>
  <c r="B87" i="1"/>
  <c r="B48" i="1"/>
  <c r="B13" i="1"/>
  <c r="B77" i="1"/>
  <c r="F26" i="1"/>
  <c r="F42" i="1"/>
  <c r="F58" i="1"/>
  <c r="F74" i="1"/>
  <c r="F90" i="1"/>
  <c r="F106" i="1"/>
  <c r="F23" i="1"/>
  <c r="F39" i="1"/>
  <c r="F55" i="1"/>
  <c r="F71" i="1"/>
  <c r="F87" i="1"/>
  <c r="F103" i="1"/>
  <c r="F20" i="1"/>
  <c r="F36" i="1"/>
  <c r="F52" i="1"/>
  <c r="F68" i="1"/>
  <c r="F84" i="1"/>
  <c r="F100" i="1"/>
  <c r="F17" i="1"/>
  <c r="F33" i="1"/>
  <c r="F49" i="1"/>
  <c r="F65" i="1"/>
  <c r="F81" i="1"/>
  <c r="F97" i="1"/>
  <c r="F11" i="1"/>
  <c r="E24" i="1"/>
  <c r="E40" i="1"/>
  <c r="E56" i="1"/>
  <c r="E72" i="1"/>
  <c r="E88" i="1"/>
  <c r="E53" i="1"/>
  <c r="E18" i="1"/>
  <c r="E82" i="1"/>
  <c r="E47" i="1"/>
  <c r="E11" i="1"/>
  <c r="B36" i="1"/>
  <c r="B82" i="1"/>
  <c r="B53" i="1"/>
  <c r="B12" i="1"/>
  <c r="B74" i="1"/>
  <c r="B29" i="1"/>
  <c r="E104" i="1"/>
  <c r="E69" i="1"/>
  <c r="E34" i="1"/>
  <c r="E98" i="1"/>
  <c r="E63" i="1"/>
  <c r="B30" i="1"/>
  <c r="B100" i="1"/>
  <c r="B47" i="1"/>
  <c r="B22" i="1"/>
  <c r="B76" i="1"/>
  <c r="B39" i="1"/>
  <c r="B93" i="1"/>
  <c r="E21" i="1"/>
  <c r="E85" i="1"/>
  <c r="E50" i="1"/>
  <c r="E15" i="1"/>
  <c r="E79" i="1"/>
  <c r="B94" i="1"/>
  <c r="B65" i="1"/>
  <c r="B24" i="1"/>
  <c r="B86" i="1"/>
  <c r="B41" i="1"/>
  <c r="B103" i="1"/>
  <c r="E37" i="1"/>
  <c r="E101" i="1"/>
  <c r="E66" i="1"/>
  <c r="E31" i="1"/>
  <c r="E95" i="1"/>
  <c r="B75" i="1"/>
  <c r="B18" i="1"/>
  <c r="B88" i="1"/>
  <c r="B51" i="1"/>
  <c r="B105" i="1"/>
  <c r="B64" i="1"/>
</calcChain>
</file>

<file path=xl/sharedStrings.xml><?xml version="1.0" encoding="utf-8"?>
<sst xmlns="http://schemas.openxmlformats.org/spreadsheetml/2006/main" count="127" uniqueCount="127">
  <si>
    <t>Host name:</t>
  </si>
  <si>
    <t>Port number:</t>
  </si>
  <si>
    <t>localhost</t>
  </si>
  <si>
    <t>User name:</t>
  </si>
  <si>
    <t>Password:</t>
  </si>
  <si>
    <t>Connection alias:</t>
  </si>
  <si>
    <t>Table name --&gt;</t>
  </si>
  <si>
    <t>Connect (qRtdOpen) --&gt;</t>
  </si>
  <si>
    <t>Object RTD ( progID, server, topic1, topic2, topic3, topic4, topic5, topic6)</t>
  </si>
  <si>
    <t>quote</t>
  </si>
  <si>
    <t>RTD</t>
  </si>
  <si>
    <t>Function used to subscribe to certain value from within cell in workbook so that it gets automatically populated with new values as soon as they’re available:</t>
  </si>
  <si>
    <t>where:</t>
  </si>
  <si>
    <t>Note:</t>
  </si>
  <si>
    <t>Updates the content of cell to which this function call is bound with the value matching subscription criteria.</t>
  </si>
  <si>
    <t>instr0</t>
  </si>
  <si>
    <t>instr1</t>
  </si>
  <si>
    <t>instr2</t>
  </si>
  <si>
    <t>instr3</t>
  </si>
  <si>
    <t>instr4</t>
  </si>
  <si>
    <t>instr5</t>
  </si>
  <si>
    <t>instr6</t>
  </si>
  <si>
    <t>instr7</t>
  </si>
  <si>
    <t>instr8</t>
  </si>
  <si>
    <t>instr9</t>
  </si>
  <si>
    <t>instr10</t>
  </si>
  <si>
    <t>instr11</t>
  </si>
  <si>
    <t>instr12</t>
  </si>
  <si>
    <t>instr13</t>
  </si>
  <si>
    <t>instr14</t>
  </si>
  <si>
    <t>instr15</t>
  </si>
  <si>
    <t>instr16</t>
  </si>
  <si>
    <t>instr17</t>
  </si>
  <si>
    <t>instr18</t>
  </si>
  <si>
    <t>instr19</t>
  </si>
  <si>
    <t>instr20</t>
  </si>
  <si>
    <t>instr21</t>
  </si>
  <si>
    <t>instr22</t>
  </si>
  <si>
    <t>instr23</t>
  </si>
  <si>
    <t>instr24</t>
  </si>
  <si>
    <t>instr25</t>
  </si>
  <si>
    <t>instr26</t>
  </si>
  <si>
    <t>instr27</t>
  </si>
  <si>
    <t>instr28</t>
  </si>
  <si>
    <t>instr29</t>
  </si>
  <si>
    <t>instr30</t>
  </si>
  <si>
    <t>instr31</t>
  </si>
  <si>
    <t>instr32</t>
  </si>
  <si>
    <t>instr33</t>
  </si>
  <si>
    <t>instr34</t>
  </si>
  <si>
    <t>instr35</t>
  </si>
  <si>
    <t>instr36</t>
  </si>
  <si>
    <t>instr37</t>
  </si>
  <si>
    <t>instr38</t>
  </si>
  <si>
    <t>instr39</t>
  </si>
  <si>
    <t>instr40</t>
  </si>
  <si>
    <t>instr41</t>
  </si>
  <si>
    <t>instr42</t>
  </si>
  <si>
    <t>instr43</t>
  </si>
  <si>
    <t>instr44</t>
  </si>
  <si>
    <t>instr45</t>
  </si>
  <si>
    <t>instr46</t>
  </si>
  <si>
    <t>instr47</t>
  </si>
  <si>
    <t>instr48</t>
  </si>
  <si>
    <t>instr49</t>
  </si>
  <si>
    <t>instr50</t>
  </si>
  <si>
    <t>instr51</t>
  </si>
  <si>
    <t>instr52</t>
  </si>
  <si>
    <t>instr53</t>
  </si>
  <si>
    <t>instr54</t>
  </si>
  <si>
    <t>instr55</t>
  </si>
  <si>
    <t>instr56</t>
  </si>
  <si>
    <t>instr57</t>
  </si>
  <si>
    <t>instr58</t>
  </si>
  <si>
    <t>instr59</t>
  </si>
  <si>
    <t>instr60</t>
  </si>
  <si>
    <t>instr61</t>
  </si>
  <si>
    <t>instr62</t>
  </si>
  <si>
    <t>instr63</t>
  </si>
  <si>
    <t>instr64</t>
  </si>
  <si>
    <t>instr65</t>
  </si>
  <si>
    <t>instr66</t>
  </si>
  <si>
    <t>instr67</t>
  </si>
  <si>
    <t>instr68</t>
  </si>
  <si>
    <t>instr69</t>
  </si>
  <si>
    <t>instr70</t>
  </si>
  <si>
    <t>instr71</t>
  </si>
  <si>
    <t>instr72</t>
  </si>
  <si>
    <t>instr73</t>
  </si>
  <si>
    <t>instr74</t>
  </si>
  <si>
    <t>instr75</t>
  </si>
  <si>
    <t>instr76</t>
  </si>
  <si>
    <t>instr77</t>
  </si>
  <si>
    <t>instr78</t>
  </si>
  <si>
    <t>instr79</t>
  </si>
  <si>
    <t>instr80</t>
  </si>
  <si>
    <t>instr81</t>
  </si>
  <si>
    <t>instr82</t>
  </si>
  <si>
    <t>instr83</t>
  </si>
  <si>
    <t>instr84</t>
  </si>
  <si>
    <t>instr85</t>
  </si>
  <si>
    <t>instr86</t>
  </si>
  <si>
    <t>instr87</t>
  </si>
  <si>
    <t>instr88</t>
  </si>
  <si>
    <t>instr89</t>
  </si>
  <si>
    <t>instr90</t>
  </si>
  <si>
    <t>instr91</t>
  </si>
  <si>
    <t>instr92</t>
  </si>
  <si>
    <t>instr93</t>
  </si>
  <si>
    <t>instr94</t>
  </si>
  <si>
    <t>instr95</t>
  </si>
  <si>
    <t>instr96</t>
  </si>
  <si>
    <t>instr97</t>
  </si>
  <si>
    <t>instr98</t>
  </si>
  <si>
    <t>instr99</t>
  </si>
  <si>
    <t>test</t>
  </si>
  <si>
    <r>
      <t>progID</t>
    </r>
    <r>
      <rPr>
        <sz val="12"/>
        <color rgb="FF333333"/>
        <rFont val="Segoe UI"/>
        <family val="2"/>
      </rPr>
      <t> [</t>
    </r>
    <r>
      <rPr>
        <sz val="10"/>
        <color rgb="FF333333"/>
        <rFont val="Consolas"/>
        <family val="3"/>
      </rPr>
      <t>String</t>
    </r>
    <r>
      <rPr>
        <sz val="12"/>
        <color rgb="FF333333"/>
        <rFont val="Segoe UI"/>
        <family val="2"/>
      </rPr>
      <t>] - ID of RTD server implementation; should be set to </t>
    </r>
    <r>
      <rPr>
        <sz val="10"/>
        <color rgb="FF333333"/>
        <rFont val="Consolas"/>
        <family val="3"/>
      </rPr>
      <t>qxlrtd</t>
    </r>
    <r>
      <rPr>
        <sz val="12"/>
        <color rgb="FF333333"/>
        <rFont val="Segoe UI"/>
        <family val="2"/>
      </rPr>
      <t>; required</t>
    </r>
  </si>
  <si>
    <r>
      <t>server</t>
    </r>
    <r>
      <rPr>
        <sz val="12"/>
        <color rgb="FF333333"/>
        <rFont val="Segoe UI"/>
        <family val="2"/>
      </rPr>
      <t> [</t>
    </r>
    <r>
      <rPr>
        <sz val="10"/>
        <color rgb="FF333333"/>
        <rFont val="Consolas"/>
        <family val="3"/>
      </rPr>
      <t>String</t>
    </r>
    <r>
      <rPr>
        <sz val="12"/>
        <color rgb="FF333333"/>
        <rFont val="Segoe UI"/>
        <family val="2"/>
      </rPr>
      <t>] - not used; required</t>
    </r>
  </si>
  <si>
    <r>
      <t>topic1</t>
    </r>
    <r>
      <rPr>
        <sz val="12"/>
        <color rgb="FF333333"/>
        <rFont val="Segoe UI"/>
        <family val="2"/>
      </rPr>
      <t> [</t>
    </r>
    <r>
      <rPr>
        <sz val="10"/>
        <color rgb="FF333333"/>
        <rFont val="Consolas"/>
        <family val="3"/>
      </rPr>
      <t>String</t>
    </r>
    <r>
      <rPr>
        <sz val="12"/>
        <color rgb="FF333333"/>
        <rFont val="Segoe UI"/>
        <family val="2"/>
      </rPr>
      <t>] - connection alias returned via </t>
    </r>
    <r>
      <rPr>
        <sz val="10"/>
        <color rgb="FF333333"/>
        <rFont val="Consolas"/>
        <family val="3"/>
      </rPr>
      <t>qSubscribe</t>
    </r>
    <r>
      <rPr>
        <sz val="12"/>
        <color rgb="FF333333"/>
        <rFont val="Segoe UI"/>
        <family val="2"/>
      </rPr>
      <t>; required</t>
    </r>
  </si>
  <si>
    <r>
      <t>topic2</t>
    </r>
    <r>
      <rPr>
        <sz val="12"/>
        <color rgb="FF333333"/>
        <rFont val="Segoe UI"/>
        <family val="2"/>
      </rPr>
      <t> [</t>
    </r>
    <r>
      <rPr>
        <sz val="10"/>
        <color rgb="FF333333"/>
        <rFont val="Consolas"/>
        <family val="3"/>
      </rPr>
      <t>String</t>
    </r>
    <r>
      <rPr>
        <sz val="12"/>
        <color rgb="FF333333"/>
        <rFont val="Segoe UI"/>
        <family val="2"/>
      </rPr>
      <t>] - name of the table from which instruments should be subscribed; required</t>
    </r>
  </si>
  <si>
    <r>
      <t>topic3</t>
    </r>
    <r>
      <rPr>
        <sz val="12"/>
        <color rgb="FF333333"/>
        <rFont val="Segoe UI"/>
        <family val="2"/>
      </rPr>
      <t> [</t>
    </r>
    <r>
      <rPr>
        <sz val="10"/>
        <color rgb="FF333333"/>
        <rFont val="Consolas"/>
        <family val="3"/>
      </rPr>
      <t>String</t>
    </r>
    <r>
      <rPr>
        <sz val="12"/>
        <color rgb="FF333333"/>
        <rFont val="Segoe UI"/>
        <family val="2"/>
      </rPr>
      <t>] - instrument name; required</t>
    </r>
  </si>
  <si>
    <r>
      <t>topic4</t>
    </r>
    <r>
      <rPr>
        <sz val="12"/>
        <color rgb="FF333333"/>
        <rFont val="Segoe UI"/>
        <family val="2"/>
      </rPr>
      <t> [</t>
    </r>
    <r>
      <rPr>
        <sz val="10"/>
        <color rgb="FF333333"/>
        <rFont val="Consolas"/>
        <family val="3"/>
      </rPr>
      <t>String</t>
    </r>
    <r>
      <rPr>
        <sz val="12"/>
        <color rgb="FF333333"/>
        <rFont val="Segoe UI"/>
        <family val="2"/>
      </rPr>
      <t>] - column name within the table to which the subscription is being made; required</t>
    </r>
  </si>
  <si>
    <r>
      <t>topic5</t>
    </r>
    <r>
      <rPr>
        <sz val="12"/>
        <color rgb="FF333333"/>
        <rFont val="Segoe UI"/>
        <family val="2"/>
      </rPr>
      <t> [</t>
    </r>
    <r>
      <rPr>
        <sz val="10"/>
        <color rgb="FF333333"/>
        <rFont val="Consolas"/>
        <family val="3"/>
      </rPr>
      <t>String</t>
    </r>
    <r>
      <rPr>
        <sz val="12"/>
        <color rgb="FF333333"/>
        <rFont val="Segoe UI"/>
        <family val="2"/>
      </rPr>
      <t>] - history index; optional - only needed when </t>
    </r>
    <r>
      <rPr>
        <sz val="10"/>
        <color rgb="FF333333"/>
        <rFont val="Consolas"/>
        <family val="3"/>
      </rPr>
      <t>Topic3</t>
    </r>
    <r>
      <rPr>
        <sz val="12"/>
        <color rgb="FF333333"/>
        <rFont val="Segoe UI"/>
        <family val="2"/>
      </rPr>
      <t> equals back tick symbol (`); when filling</t>
    </r>
    <r>
      <rPr>
        <sz val="10"/>
        <color rgb="FF333333"/>
        <rFont val="Consolas"/>
        <family val="3"/>
      </rPr>
      <t>Topic6</t>
    </r>
    <r>
      <rPr>
        <sz val="12"/>
        <color rgb="FF333333"/>
        <rFont val="Segoe UI"/>
        <family val="2"/>
      </rPr>
      <t> we have to have </t>
    </r>
    <r>
      <rPr>
        <sz val="10"/>
        <color rgb="FF333333"/>
        <rFont val="Consolas"/>
        <family val="3"/>
      </rPr>
      <t>Topic5</t>
    </r>
    <r>
      <rPr>
        <sz val="12"/>
        <color rgb="FF333333"/>
        <rFont val="Segoe UI"/>
        <family val="2"/>
      </rPr>
      <t> (can be empty)</t>
    </r>
  </si>
  <si>
    <r>
      <t>topic6</t>
    </r>
    <r>
      <rPr>
        <sz val="12"/>
        <color rgb="FF333333"/>
        <rFont val="Segoe UI"/>
        <family val="2"/>
      </rPr>
      <t> [</t>
    </r>
    <r>
      <rPr>
        <sz val="10"/>
        <color rgb="FF333333"/>
        <rFont val="Consolas"/>
        <family val="3"/>
      </rPr>
      <t>Number</t>
    </r>
    <r>
      <rPr>
        <sz val="12"/>
        <color rgb="FF333333"/>
        <rFont val="Segoe UI"/>
        <family val="2"/>
      </rPr>
      <t>] - Symbol Mapping; optional</t>
    </r>
  </si>
  <si>
    <r>
      <t>Since </t>
    </r>
    <r>
      <rPr>
        <sz val="10"/>
        <color rgb="FF777777"/>
        <rFont val="Consolas"/>
        <family val="3"/>
      </rPr>
      <t>Topic6</t>
    </r>
    <r>
      <rPr>
        <sz val="12"/>
        <color rgb="FF777777"/>
        <rFont val="Segoe UI"/>
        <family val="2"/>
      </rPr>
      <t> can be used only for back tick subscription, system cannot determinate where to put data for particular symbols. That is why </t>
    </r>
    <r>
      <rPr>
        <sz val="10"/>
        <color rgb="FF777777"/>
        <rFont val="Consolas"/>
        <family val="3"/>
      </rPr>
      <t>Topic6</t>
    </r>
    <r>
      <rPr>
        <sz val="12"/>
        <color rgb="FF777777"/>
        <rFont val="Segoe UI"/>
        <family val="2"/>
      </rPr>
      <t> has been introduced – it is used to map incoming symbols to numbers. First symbol which is delivered from database is mapped with first empty number of </t>
    </r>
    <r>
      <rPr>
        <sz val="10"/>
        <color rgb="FF777777"/>
        <rFont val="Consolas"/>
        <family val="3"/>
      </rPr>
      <t>Topic6</t>
    </r>
    <r>
      <rPr>
        <sz val="12"/>
        <color rgb="FF777777"/>
        <rFont val="Segoe UI"/>
        <family val="2"/>
      </rPr>
      <t> and it stays mapped until all</t>
    </r>
    <r>
      <rPr>
        <sz val="10"/>
        <color rgb="FF777777"/>
        <rFont val="Consolas"/>
        <family val="3"/>
      </rPr>
      <t>RTD</t>
    </r>
    <r>
      <rPr>
        <sz val="12"/>
        <color rgb="FF777777"/>
        <rFont val="Segoe UI"/>
        <family val="2"/>
      </rPr>
      <t> formulas with given value of </t>
    </r>
    <r>
      <rPr>
        <sz val="10"/>
        <color rgb="FF777777"/>
        <rFont val="Consolas"/>
        <family val="3"/>
      </rPr>
      <t>Topic6</t>
    </r>
    <r>
      <rPr>
        <sz val="12"/>
        <color rgb="FF777777"/>
        <rFont val="Segoe UI"/>
        <family val="2"/>
      </rPr>
      <t> are present in the sheet.</t>
    </r>
  </si>
  <si>
    <t>subscribe one symbol</t>
  </si>
  <si>
    <t>subsribe 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</si>
</sst>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6.5"/>
      <color rgb="FF333333"/>
      <name val="Segoe UI"/>
      <family val="2"/>
    </font>
    <font>
      <sz val="12"/>
      <color rgb="FF333333"/>
      <name val="Segoe UI"/>
      <family val="2"/>
    </font>
    <font>
      <sz val="10"/>
      <color rgb="FF333333"/>
      <name val="Consolas"/>
      <family val="3"/>
    </font>
    <font>
      <sz val="12"/>
      <color rgb="FF777777"/>
      <name val="Segoe UI"/>
      <family val="2"/>
    </font>
    <font>
      <sz val="10"/>
      <color rgb="FF777777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0" fillId="3" borderId="0" xfId="0" applyFill="1"/>
    <xf numFmtId="0" fontId="0" fillId="3" borderId="0" xfId="0" applyFill="1" applyAlignment="1">
      <alignment horizontal="right"/>
    </xf>
    <xf numFmtId="0" fontId="0" fillId="0" borderId="0" xfId="0" applyFill="1"/>
    <xf numFmtId="0" fontId="0" fillId="0" borderId="0" xfId="0" applyFill="1" applyAlignment="1"/>
    <xf numFmtId="0" fontId="0" fillId="0" borderId="0" xfId="0" applyFill="1" applyAlignment="1">
      <alignment horizontal="right"/>
    </xf>
    <xf numFmtId="0" fontId="0" fillId="4" borderId="0" xfId="0" applyFill="1"/>
    <xf numFmtId="0" fontId="0" fillId="0" borderId="0" xfId="0" quotePrefix="1" applyFill="1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indent="1"/>
    </xf>
    <xf numFmtId="0" fontId="3" fillId="0" borderId="0" xfId="0" applyFont="1" applyAlignment="1">
      <alignment horizontal="left" vertical="center" wrapText="1" indent="1"/>
    </xf>
    <xf numFmtId="0" fontId="4" fillId="0" borderId="0" xfId="0" applyFont="1" applyAlignment="1">
      <alignment horizontal="left" vertical="center" wrapText="1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qxlrtd">
      <tp>
        <v>0.95307757146656513</v>
        <stp/>
        <stp>test</stp>
        <stp>quote</stp>
        <stp>`</stp>
        <stp>bid</stp>
        <stp/>
        <stp>2</stp>
        <tr r="F12" s="1"/>
      </tp>
      <tp>
        <v>90.11314744129777</v>
        <stp/>
        <stp>test</stp>
        <stp>quote</stp>
        <stp>`</stp>
        <stp>bid</stp>
        <stp/>
        <stp>3</stp>
        <tr r="F13" s="1"/>
      </tp>
      <tp>
        <v>20.118091348558664</v>
        <stp/>
        <stp>test</stp>
        <stp>quote</stp>
        <stp>`</stp>
        <stp>bid</stp>
        <stp/>
        <stp>1</stp>
        <tr r="F11" s="1"/>
      </tp>
      <tp>
        <v>99.889565003104508</v>
        <stp/>
        <stp>test</stp>
        <stp>quote</stp>
        <stp>`</stp>
        <stp>bid</stp>
        <stp/>
        <stp>6</stp>
        <tr r="F16" s="1"/>
      </tp>
      <tp>
        <v>35.264248703606427</v>
        <stp/>
        <stp>test</stp>
        <stp>quote</stp>
        <stp>`</stp>
        <stp>bid</stp>
        <stp/>
        <stp>7</stp>
        <tr r="F17" s="1"/>
      </tp>
      <tp>
        <v>9.3369944021105766</v>
        <stp/>
        <stp>test</stp>
        <stp>quote</stp>
        <stp>`</stp>
        <stp>bid</stp>
        <stp/>
        <stp>4</stp>
        <tr r="F14" s="1"/>
      </tp>
      <tp>
        <v>60.885513457469642</v>
        <stp/>
        <stp>test</stp>
        <stp>quote</stp>
        <stp>`</stp>
        <stp>bid</stp>
        <stp/>
        <stp>5</stp>
        <tr r="F15" s="1"/>
      </tp>
      <tp>
        <v>79.809695365838706</v>
        <stp/>
        <stp>test</stp>
        <stp>quote</stp>
        <stp>`</stp>
        <stp>bid</stp>
        <stp/>
        <stp>8</stp>
        <tr r="F18" s="1"/>
      </tp>
      <tp>
        <v>19.932047557085752</v>
        <stp/>
        <stp>test</stp>
        <stp>quote</stp>
        <stp>`</stp>
        <stp>bid</stp>
        <stp/>
        <stp>9</stp>
        <tr r="F19" s="1"/>
      </tp>
      <tp t="s">
        <v>instr7</v>
        <stp/>
        <stp>test</stp>
        <stp>quote</stp>
        <stp>`</stp>
        <stp>sym</stp>
        <stp/>
        <stp>2</stp>
        <tr r="E12" s="1"/>
      </tp>
      <tp t="s">
        <v>instr59</v>
        <stp/>
        <stp>test</stp>
        <stp>quote</stp>
        <stp>`</stp>
        <stp>sym</stp>
        <stp/>
        <stp>3</stp>
        <tr r="E13" s="1"/>
      </tp>
      <tp t="s">
        <v>instr88</v>
        <stp/>
        <stp>test</stp>
        <stp>quote</stp>
        <stp>`</stp>
        <stp>sym</stp>
        <stp/>
        <stp>1</stp>
        <tr r="E11" s="1"/>
      </tp>
      <tp t="s">
        <v>instr57</v>
        <stp/>
        <stp>test</stp>
        <stp>quote</stp>
        <stp>`</stp>
        <stp>sym</stp>
        <stp/>
        <stp>6</stp>
        <tr r="E16" s="1"/>
      </tp>
      <tp t="s">
        <v>instr54</v>
        <stp/>
        <stp>test</stp>
        <stp>quote</stp>
        <stp>`</stp>
        <stp>sym</stp>
        <stp/>
        <stp>7</stp>
        <tr r="E17" s="1"/>
      </tp>
      <tp t="s">
        <v>instr62</v>
        <stp/>
        <stp>test</stp>
        <stp>quote</stp>
        <stp>`</stp>
        <stp>sym</stp>
        <stp/>
        <stp>4</stp>
        <tr r="E14" s="1"/>
      </tp>
      <tp t="s">
        <v>instr69</v>
        <stp/>
        <stp>test</stp>
        <stp>quote</stp>
        <stp>`</stp>
        <stp>sym</stp>
        <stp/>
        <stp>5</stp>
        <tr r="E15" s="1"/>
      </tp>
      <tp t="s">
        <v>instr50</v>
        <stp/>
        <stp>test</stp>
        <stp>quote</stp>
        <stp>`</stp>
        <stp>sym</stp>
        <stp/>
        <stp>8</stp>
        <tr r="E18" s="1"/>
      </tp>
      <tp t="s">
        <v>instr55</v>
        <stp/>
        <stp>test</stp>
        <stp>quote</stp>
        <stp>`</stp>
        <stp>sym</stp>
        <stp/>
        <stp>9</stp>
        <tr r="E19" s="1"/>
      </tp>
      <tp>
        <v>38.671342679299414</v>
        <stp/>
        <stp>test</stp>
        <stp>quote</stp>
        <stp>`</stp>
        <stp>bid</stp>
        <stp/>
        <stp>29</stp>
        <tr r="F39" s="1"/>
      </tp>
      <tp>
        <v>59.436082188040018</v>
        <stp/>
        <stp>test</stp>
        <stp>quote</stp>
        <stp>`</stp>
        <stp>bid</stp>
        <stp/>
        <stp>28</stp>
        <tr r="F38" s="1"/>
      </tp>
      <tp>
        <v>96.570491418242455</v>
        <stp/>
        <stp>test</stp>
        <stp>quote</stp>
        <stp>`</stp>
        <stp>bid</stp>
        <stp/>
        <stp>27</stp>
        <tr r="F37" s="1"/>
      </tp>
      <tp>
        <v>8.707019966095686</v>
        <stp/>
        <stp>test</stp>
        <stp>quote</stp>
        <stp>`</stp>
        <stp>bid</stp>
        <stp/>
        <stp>26</stp>
        <tr r="F36" s="1"/>
      </tp>
      <tp>
        <v>87.130214972421527</v>
        <stp/>
        <stp>test</stp>
        <stp>quote</stp>
        <stp>`</stp>
        <stp>bid</stp>
        <stp/>
        <stp>25</stp>
        <tr r="F35" s="1"/>
      </tp>
      <tp>
        <v>74.709498276934028</v>
        <stp/>
        <stp>test</stp>
        <stp>quote</stp>
        <stp>`</stp>
        <stp>bid</stp>
        <stp/>
        <stp>24</stp>
        <tr r="F34" s="1"/>
      </tp>
      <tp>
        <v>79.595282697118819</v>
        <stp/>
        <stp>test</stp>
        <stp>quote</stp>
        <stp>`</stp>
        <stp>bid</stp>
        <stp/>
        <stp>23</stp>
        <tr r="F33" s="1"/>
      </tp>
      <tp>
        <v>15.585554088465869</v>
        <stp/>
        <stp>test</stp>
        <stp>quote</stp>
        <stp>`</stp>
        <stp>bid</stp>
        <stp/>
        <stp>22</stp>
        <tr r="F32" s="1"/>
      </tp>
      <tp>
        <v>47.792125423438847</v>
        <stp/>
        <stp>test</stp>
        <stp>quote</stp>
        <stp>`</stp>
        <stp>bid</stp>
        <stp/>
        <stp>21</stp>
        <tr r="F31" s="1"/>
      </tp>
      <tp>
        <v>18.923375080339611</v>
        <stp/>
        <stp>test</stp>
        <stp>quote</stp>
        <stp>`</stp>
        <stp>bid</stp>
        <stp/>
        <stp>20</stp>
        <tr r="F30" s="1"/>
      </tp>
      <tp>
        <v>55.076145566999912</v>
        <stp/>
        <stp>test</stp>
        <stp>quote</stp>
        <stp>`</stp>
        <stp>bid</stp>
        <stp/>
        <stp>39</stp>
        <tr r="F49" s="1"/>
      </tp>
      <tp>
        <v>80.707400944083929</v>
        <stp/>
        <stp>test</stp>
        <stp>quote</stp>
        <stp>`</stp>
        <stp>bid</stp>
        <stp/>
        <stp>38</stp>
        <tr r="F48" s="1"/>
      </tp>
      <tp>
        <v>12.221980444155633</v>
        <stp/>
        <stp>test</stp>
        <stp>quote</stp>
        <stp>`</stp>
        <stp>bid</stp>
        <stp/>
        <stp>37</stp>
        <tr r="F47" s="1"/>
      </tp>
      <tp>
        <v>68.595143081620336</v>
        <stp/>
        <stp>test</stp>
        <stp>quote</stp>
        <stp>`</stp>
        <stp>bid</stp>
        <stp/>
        <stp>36</stp>
        <tr r="F46" s="1"/>
      </tp>
      <tp>
        <v>95.641123200766742</v>
        <stp/>
        <stp>test</stp>
        <stp>quote</stp>
        <stp>`</stp>
        <stp>bid</stp>
        <stp/>
        <stp>35</stp>
        <tr r="F45" s="1"/>
      </tp>
      <tp>
        <v>53.410999546758831</v>
        <stp/>
        <stp>test</stp>
        <stp>quote</stp>
        <stp>`</stp>
        <stp>bid</stp>
        <stp/>
        <stp>34</stp>
        <tr r="F44" s="1"/>
      </tp>
      <tp>
        <v>53.644264629110694</v>
        <stp/>
        <stp>test</stp>
        <stp>quote</stp>
        <stp>`</stp>
        <stp>bid</stp>
        <stp/>
        <stp>33</stp>
        <tr r="F43" s="1"/>
      </tp>
      <tp>
        <v>47.780602355487645</v>
        <stp/>
        <stp>test</stp>
        <stp>quote</stp>
        <stp>`</stp>
        <stp>bid</stp>
        <stp/>
        <stp>32</stp>
        <tr r="F42" s="1"/>
      </tp>
      <tp>
        <v>32.426919532008469</v>
        <stp/>
        <stp>test</stp>
        <stp>quote</stp>
        <stp>`</stp>
        <stp>bid</stp>
        <stp/>
        <stp>31</stp>
        <tr r="F41" s="1"/>
      </tp>
      <tp>
        <v>39.257363579235971</v>
        <stp/>
        <stp>test</stp>
        <stp>quote</stp>
        <stp>`</stp>
        <stp>bid</stp>
        <stp/>
        <stp>30</stp>
        <tr r="F40" s="1"/>
      </tp>
      <tp>
        <v>11.048275511711836</v>
        <stp/>
        <stp>test</stp>
        <stp>quote</stp>
        <stp>`</stp>
        <stp>bid</stp>
        <stp/>
        <stp>19</stp>
        <tr r="F29" s="1"/>
      </tp>
      <tp>
        <v>91.072434326633811</v>
        <stp/>
        <stp>test</stp>
        <stp>quote</stp>
        <stp>`</stp>
        <stp>bid</stp>
        <stp/>
        <stp>18</stp>
        <tr r="F28" s="1"/>
      </tp>
      <tp>
        <v>75.791710615158081</v>
        <stp/>
        <stp>test</stp>
        <stp>quote</stp>
        <stp>`</stp>
        <stp>bid</stp>
        <stp/>
        <stp>17</stp>
        <tr r="F27" s="1"/>
      </tp>
      <tp>
        <v>19.096082891337574</v>
        <stp/>
        <stp>test</stp>
        <stp>quote</stp>
        <stp>`</stp>
        <stp>bid</stp>
        <stp/>
        <stp>16</stp>
        <tr r="F26" s="1"/>
      </tp>
      <tp>
        <v>54.156887507997453</v>
        <stp/>
        <stp>test</stp>
        <stp>quote</stp>
        <stp>`</stp>
        <stp>bid</stp>
        <stp/>
        <stp>15</stp>
        <tr r="F25" s="1"/>
      </tp>
      <tp>
        <v>42.860863427631557</v>
        <stp/>
        <stp>test</stp>
        <stp>quote</stp>
        <stp>`</stp>
        <stp>bid</stp>
        <stp/>
        <stp>14</stp>
        <tr r="F24" s="1"/>
      </tp>
      <tp>
        <v>16.421348275616765</v>
        <stp/>
        <stp>test</stp>
        <stp>quote</stp>
        <stp>`</stp>
        <stp>bid</stp>
        <stp/>
        <stp>13</stp>
        <tr r="F23" s="1"/>
      </tp>
      <tp>
        <v>9.1003326466307044</v>
        <stp/>
        <stp>test</stp>
        <stp>quote</stp>
        <stp>`</stp>
        <stp>bid</stp>
        <stp/>
        <stp>12</stp>
        <tr r="F22" s="1"/>
      </tp>
      <tp>
        <v>2.2420872235670686</v>
        <stp/>
        <stp>test</stp>
        <stp>quote</stp>
        <stp>`</stp>
        <stp>bid</stp>
        <stp/>
        <stp>11</stp>
        <tr r="F21" s="1"/>
      </tp>
      <tp>
        <v>72.246810048818588</v>
        <stp/>
        <stp>test</stp>
        <stp>quote</stp>
        <stp>`</stp>
        <stp>bid</stp>
        <stp/>
        <stp>10</stp>
        <tr r="F20" s="1"/>
      </tp>
      <tp>
        <v>97.880113939754665</v>
        <stp/>
        <stp>test</stp>
        <stp>quote</stp>
        <stp>`</stp>
        <stp>bid</stp>
        <stp/>
        <stp>69</stp>
        <tr r="F79" s="1"/>
      </tp>
      <tp>
        <v>58.885649894364178</v>
        <stp/>
        <stp>test</stp>
        <stp>quote</stp>
        <stp>`</stp>
        <stp>bid</stp>
        <stp/>
        <stp>68</stp>
        <tr r="F78" s="1"/>
      </tp>
      <tp>
        <v>56.28765681758523</v>
        <stp/>
        <stp>test</stp>
        <stp>quote</stp>
        <stp>`</stp>
        <stp>bid</stp>
        <stp/>
        <stp>67</stp>
        <tr r="F77" s="1"/>
      </tp>
      <tp>
        <v>54.275851650163531</v>
        <stp/>
        <stp>test</stp>
        <stp>quote</stp>
        <stp>`</stp>
        <stp>bid</stp>
        <stp/>
        <stp>66</stp>
        <tr r="F76" s="1"/>
      </tp>
      <tp>
        <v>6.3308521173894405</v>
        <stp/>
        <stp>test</stp>
        <stp>quote</stp>
        <stp>`</stp>
        <stp>bid</stp>
        <stp/>
        <stp>65</stp>
        <tr r="F75" s="1"/>
      </tp>
      <tp>
        <v>63.747296435758471</v>
        <stp/>
        <stp>test</stp>
        <stp>quote</stp>
        <stp>`</stp>
        <stp>bid</stp>
        <stp/>
        <stp>64</stp>
        <tr r="F74" s="1"/>
      </tp>
      <tp>
        <v>19.935785955749452</v>
        <stp/>
        <stp>test</stp>
        <stp>quote</stp>
        <stp>`</stp>
        <stp>bid</stp>
        <stp/>
        <stp>63</stp>
        <tr r="F73" s="1"/>
      </tp>
      <tp>
        <v>60.996431251987815</v>
        <stp/>
        <stp>test</stp>
        <stp>quote</stp>
        <stp>`</stp>
        <stp>bid</stp>
        <stp/>
        <stp>62</stp>
        <tr r="F72" s="1"/>
      </tp>
      <tp>
        <v>95.757080777548254</v>
        <stp/>
        <stp>test</stp>
        <stp>quote</stp>
        <stp>`</stp>
        <stp>bid</stp>
        <stp/>
        <stp>61</stp>
        <tr r="F71" s="1"/>
      </tp>
      <tp>
        <v>7.7515029348433018</v>
        <stp/>
        <stp>test</stp>
        <stp>quote</stp>
        <stp>`</stp>
        <stp>bid</stp>
        <stp/>
        <stp>60</stp>
        <tr r="F70" s="1"/>
      </tp>
      <tp>
        <v>77.101654186844826</v>
        <stp/>
        <stp>test</stp>
        <stp>quote</stp>
        <stp>`</stp>
        <stp>bid</stp>
        <stp/>
        <stp>79</stp>
        <tr r="F89" s="1"/>
      </tp>
      <tp>
        <v>10.066795977763832</v>
        <stp/>
        <stp>test</stp>
        <stp>quote</stp>
        <stp>`</stp>
        <stp>bid</stp>
        <stp/>
        <stp>78</stp>
        <tr r="F88" s="1"/>
      </tp>
      <tp>
        <v>32.970932614989579</v>
        <stp/>
        <stp>test</stp>
        <stp>quote</stp>
        <stp>`</stp>
        <stp>bid</stp>
        <stp/>
        <stp>77</stp>
        <tr r="F87" s="1"/>
      </tp>
      <tp>
        <v>75.982584175653756</v>
        <stp/>
        <stp>test</stp>
        <stp>quote</stp>
        <stp>`</stp>
        <stp>bid</stp>
        <stp/>
        <stp>76</stp>
        <tr r="F86" s="1"/>
      </tp>
      <tp>
        <v>37.979913130402565</v>
        <stp/>
        <stp>test</stp>
        <stp>quote</stp>
        <stp>`</stp>
        <stp>bid</stp>
        <stp/>
        <stp>75</stp>
        <tr r="F85" s="1"/>
      </tp>
      <tp>
        <v>37.992359045892954</v>
        <stp/>
        <stp>test</stp>
        <stp>quote</stp>
        <stp>`</stp>
        <stp>bid</stp>
        <stp/>
        <stp>74</stp>
        <tr r="F84" s="1"/>
      </tp>
      <tp>
        <v>31.032750406302512</v>
        <stp/>
        <stp>test</stp>
        <stp>quote</stp>
        <stp>`</stp>
        <stp>bid</stp>
        <stp/>
        <stp>73</stp>
        <tr r="F83" s="1"/>
      </tp>
      <tp>
        <v>77.985310438089073</v>
        <stp/>
        <stp>test</stp>
        <stp>quote</stp>
        <stp>`</stp>
        <stp>bid</stp>
        <stp/>
        <stp>72</stp>
        <tr r="F82" s="1"/>
      </tp>
      <tp>
        <v>92.872442957013845</v>
        <stp/>
        <stp>test</stp>
        <stp>quote</stp>
        <stp>`</stp>
        <stp>bid</stp>
        <stp/>
        <stp>71</stp>
        <tr r="F81" s="1"/>
      </tp>
      <tp>
        <v>92.480144486762583</v>
        <stp/>
        <stp>test</stp>
        <stp>quote</stp>
        <stp>`</stp>
        <stp>bid</stp>
        <stp/>
        <stp>70</stp>
        <tr r="F80" s="1"/>
      </tp>
      <tp>
        <v>4.6747691929340363</v>
        <stp/>
        <stp>test</stp>
        <stp>quote</stp>
        <stp>`</stp>
        <stp>bid</stp>
        <stp/>
        <stp>49</stp>
        <tr r="F59" s="1"/>
      </tp>
      <tp>
        <v>34.796640463173389</v>
        <stp/>
        <stp>test</stp>
        <stp>quote</stp>
        <stp>`</stp>
        <stp>bid</stp>
        <stp/>
        <stp>48</stp>
        <tr r="F58" s="1"/>
      </tp>
      <tp>
        <v>21.379079227335751</v>
        <stp/>
        <stp>test</stp>
        <stp>quote</stp>
        <stp>`</stp>
        <stp>bid</stp>
        <stp/>
        <stp>47</stp>
        <tr r="F57" s="1"/>
      </tp>
      <tp>
        <v>98.215238261036575</v>
        <stp/>
        <stp>test</stp>
        <stp>quote</stp>
        <stp>`</stp>
        <stp>bid</stp>
        <stp/>
        <stp>46</stp>
        <tr r="F56" s="1"/>
      </tp>
      <tp>
        <v>12.601671204902232</v>
        <stp/>
        <stp>test</stp>
        <stp>quote</stp>
        <stp>`</stp>
        <stp>bid</stp>
        <stp/>
        <stp>45</stp>
        <tr r="F55" s="1"/>
      </tp>
      <tp>
        <v>22.375171189196408</v>
        <stp/>
        <stp>test</stp>
        <stp>quote</stp>
        <stp>`</stp>
        <stp>bid</stp>
        <stp/>
        <stp>44</stp>
        <tr r="F54" s="1"/>
      </tp>
      <tp>
        <v>58.60369885340333</v>
        <stp/>
        <stp>test</stp>
        <stp>quote</stp>
        <stp>`</stp>
        <stp>bid</stp>
        <stp/>
        <stp>43</stp>
        <tr r="F53" s="1"/>
      </tp>
      <tp>
        <v>56.273350119590759</v>
        <stp/>
        <stp>test</stp>
        <stp>quote</stp>
        <stp>`</stp>
        <stp>bid</stp>
        <stp/>
        <stp>42</stp>
        <tr r="F52" s="1"/>
      </tp>
      <tp>
        <v>8.2459286553785205</v>
        <stp/>
        <stp>test</stp>
        <stp>quote</stp>
        <stp>`</stp>
        <stp>bid</stp>
        <stp/>
        <stp>41</stp>
        <tr r="F51" s="1"/>
      </tp>
      <tp>
        <v>60.660740477032959</v>
        <stp/>
        <stp>test</stp>
        <stp>quote</stp>
        <stp>`</stp>
        <stp>bid</stp>
        <stp/>
        <stp>40</stp>
        <tr r="F50" s="1"/>
      </tp>
      <tp>
        <v>92.392843309789896</v>
        <stp/>
        <stp>test</stp>
        <stp>quote</stp>
        <stp>`</stp>
        <stp>bid</stp>
        <stp/>
        <stp>59</stp>
        <tr r="F69" s="1"/>
      </tp>
      <tp>
        <v>91.193720023147762</v>
        <stp/>
        <stp>test</stp>
        <stp>quote</stp>
        <stp>`</stp>
        <stp>bid</stp>
        <stp/>
        <stp>58</stp>
        <tr r="F68" s="1"/>
      </tp>
      <tp>
        <v>41.420680400915444</v>
        <stp/>
        <stp>test</stp>
        <stp>quote</stp>
        <stp>`</stp>
        <stp>bid</stp>
        <stp/>
        <stp>57</stp>
        <tr r="F67" s="1"/>
      </tp>
      <tp>
        <v>96.616719197481871</v>
        <stp/>
        <stp>test</stp>
        <stp>quote</stp>
        <stp>`</stp>
        <stp>bid</stp>
        <stp/>
        <stp>56</stp>
        <tr r="F66" s="1"/>
      </tp>
      <tp>
        <v>56.803350592963398</v>
        <stp/>
        <stp>test</stp>
        <stp>quote</stp>
        <stp>`</stp>
        <stp>bid</stp>
        <stp/>
        <stp>55</stp>
        <tr r="F65" s="1"/>
      </tp>
      <tp>
        <v>43.172542215324938</v>
        <stp/>
        <stp>test</stp>
        <stp>quote</stp>
        <stp>`</stp>
        <stp>bid</stp>
        <stp/>
        <stp>54</stp>
        <tr r="F64" s="1"/>
      </tp>
      <tp>
        <v>19.601107877679169</v>
        <stp/>
        <stp>test</stp>
        <stp>quote</stp>
        <stp>`</stp>
        <stp>bid</stp>
        <stp/>
        <stp>53</stp>
        <tr r="F63" s="1"/>
      </tp>
      <tp>
        <v>11.791051458567381</v>
        <stp/>
        <stp>test</stp>
        <stp>quote</stp>
        <stp>`</stp>
        <stp>bid</stp>
        <stp/>
        <stp>52</stp>
        <tr r="F62" s="1"/>
      </tp>
      <tp>
        <v>3.745125001296401</v>
        <stp/>
        <stp>test</stp>
        <stp>quote</stp>
        <stp>`</stp>
        <stp>bid</stp>
        <stp/>
        <stp>51</stp>
        <tr r="F61" s="1"/>
      </tp>
      <tp>
        <v>32.010837737470865</v>
        <stp/>
        <stp>test</stp>
        <stp>quote</stp>
        <stp>`</stp>
        <stp>bid</stp>
        <stp/>
        <stp>50</stp>
        <tr r="F60" s="1"/>
      </tp>
      <tp t="e">
        <v>#N/A</v>
        <stp/>
        <stp>test</stp>
        <stp>quote</stp>
        <stp>`</stp>
        <stp>bid</stp>
        <stp/>
        <stp>89</stp>
        <tr r="F99" s="1"/>
      </tp>
      <tp t="e">
        <v>#N/A</v>
        <stp/>
        <stp>test</stp>
        <stp>quote</stp>
        <stp>`</stp>
        <stp>bid</stp>
        <stp/>
        <stp>88</stp>
        <tr r="F98" s="1"/>
      </tp>
      <tp t="e">
        <v>#N/A</v>
        <stp/>
        <stp>test</stp>
        <stp>quote</stp>
        <stp>`</stp>
        <stp>bid</stp>
        <stp/>
        <stp>87</stp>
        <tr r="F97" s="1"/>
      </tp>
      <tp t="e">
        <v>#N/A</v>
        <stp/>
        <stp>test</stp>
        <stp>quote</stp>
        <stp>`</stp>
        <stp>bid</stp>
        <stp/>
        <stp>86</stp>
        <tr r="F96" s="1"/>
      </tp>
      <tp t="e">
        <v>#N/A</v>
        <stp/>
        <stp>test</stp>
        <stp>quote</stp>
        <stp>`</stp>
        <stp>bid</stp>
        <stp/>
        <stp>85</stp>
        <tr r="F95" s="1"/>
      </tp>
      <tp>
        <v>65.423834114335477</v>
        <stp/>
        <stp>test</stp>
        <stp>quote</stp>
        <stp>`</stp>
        <stp>bid</stp>
        <stp/>
        <stp>84</stp>
        <tr r="F94" s="1"/>
      </tp>
      <tp>
        <v>68.407958257012069</v>
        <stp/>
        <stp>test</stp>
        <stp>quote</stp>
        <stp>`</stp>
        <stp>bid</stp>
        <stp/>
        <stp>83</stp>
        <tr r="F93" s="1"/>
      </tp>
      <tp>
        <v>44.895711122080684</v>
        <stp/>
        <stp>test</stp>
        <stp>quote</stp>
        <stp>`</stp>
        <stp>bid</stp>
        <stp/>
        <stp>82</stp>
        <tr r="F92" s="1"/>
      </tp>
      <tp>
        <v>13.544280314818025</v>
        <stp/>
        <stp>test</stp>
        <stp>quote</stp>
        <stp>`</stp>
        <stp>bid</stp>
        <stp/>
        <stp>81</stp>
        <tr r="F91" s="1"/>
      </tp>
      <tp>
        <v>38.053546543233097</v>
        <stp/>
        <stp>test</stp>
        <stp>quote</stp>
        <stp>`</stp>
        <stp>bid</stp>
        <stp/>
        <stp>80</stp>
        <tr r="F90" s="1"/>
      </tp>
      <tp t="e">
        <v>#N/A</v>
        <stp/>
        <stp>test</stp>
        <stp>quote</stp>
        <stp>`</stp>
        <stp>bid</stp>
        <stp/>
        <stp>99</stp>
        <tr r="F109" s="1"/>
      </tp>
      <tp t="e">
        <v>#N/A</v>
        <stp/>
        <stp>test</stp>
        <stp>quote</stp>
        <stp>`</stp>
        <stp>bid</stp>
        <stp/>
        <stp>98</stp>
        <tr r="F108" s="1"/>
      </tp>
      <tp t="e">
        <v>#N/A</v>
        <stp/>
        <stp>test</stp>
        <stp>quote</stp>
        <stp>`</stp>
        <stp>bid</stp>
        <stp/>
        <stp>97</stp>
        <tr r="F107" s="1"/>
      </tp>
      <tp t="e">
        <v>#N/A</v>
        <stp/>
        <stp>test</stp>
        <stp>quote</stp>
        <stp>`</stp>
        <stp>bid</stp>
        <stp/>
        <stp>96</stp>
        <tr r="F106" s="1"/>
      </tp>
      <tp t="e">
        <v>#N/A</v>
        <stp/>
        <stp>test</stp>
        <stp>quote</stp>
        <stp>`</stp>
        <stp>bid</stp>
        <stp/>
        <stp>95</stp>
        <tr r="F105" s="1"/>
      </tp>
      <tp t="e">
        <v>#N/A</v>
        <stp/>
        <stp>test</stp>
        <stp>quote</stp>
        <stp>`</stp>
        <stp>bid</stp>
        <stp/>
        <stp>94</stp>
        <tr r="F104" s="1"/>
      </tp>
      <tp t="e">
        <v>#N/A</v>
        <stp/>
        <stp>test</stp>
        <stp>quote</stp>
        <stp>`</stp>
        <stp>bid</stp>
        <stp/>
        <stp>93</stp>
        <tr r="F103" s="1"/>
      </tp>
      <tp t="e">
        <v>#N/A</v>
        <stp/>
        <stp>test</stp>
        <stp>quote</stp>
        <stp>`</stp>
        <stp>bid</stp>
        <stp/>
        <stp>92</stp>
        <tr r="F102" s="1"/>
      </tp>
      <tp t="e">
        <v>#N/A</v>
        <stp/>
        <stp>test</stp>
        <stp>quote</stp>
        <stp>`</stp>
        <stp>bid</stp>
        <stp/>
        <stp>91</stp>
        <tr r="F101" s="1"/>
      </tp>
      <tp t="e">
        <v>#N/A</v>
        <stp/>
        <stp>test</stp>
        <stp>quote</stp>
        <stp>`</stp>
        <stp>bid</stp>
        <stp/>
        <stp>90</stp>
        <tr r="F100" s="1"/>
      </tp>
      <tp>
        <v>41.420680400915444</v>
        <stp/>
        <stp>test</stp>
        <stp>quote</stp>
        <stp>instr78</stp>
        <stp>bid</stp>
        <tr r="B89" s="1"/>
      </tp>
      <tp>
        <v>68.595143081620336</v>
        <stp/>
        <stp>test</stp>
        <stp>quote</stp>
        <stp>instr79</stp>
        <stp>bid</stp>
        <tr r="B90" s="1"/>
      </tp>
      <tp>
        <v>68.407958257012069</v>
        <stp/>
        <stp>test</stp>
        <stp>quote</stp>
        <stp>instr72</stp>
        <stp>bid</stp>
        <tr r="B83" s="1"/>
      </tp>
      <tp>
        <v>96.570491418242455</v>
        <stp/>
        <stp>test</stp>
        <stp>quote</stp>
        <stp>instr73</stp>
        <stp>bid</stp>
        <tr r="B84" s="1"/>
      </tp>
      <tp t="e">
        <v>#N/A</v>
        <stp/>
        <stp>test</stp>
        <stp>quote</stp>
        <stp>instr70</stp>
        <stp>bid</stp>
        <tr r="B81" s="1"/>
      </tp>
      <tp>
        <v>91.193720023147762</v>
        <stp/>
        <stp>test</stp>
        <stp>quote</stp>
        <stp>instr71</stp>
        <stp>bid</stp>
        <tr r="B82" s="1"/>
      </tp>
      <tp>
        <v>95.757080777548254</v>
        <stp/>
        <stp>test</stp>
        <stp>quote</stp>
        <stp>instr76</stp>
        <stp>bid</stp>
        <tr r="B87" s="1"/>
      </tp>
      <tp>
        <v>91.072434326633811</v>
        <stp/>
        <stp>test</stp>
        <stp>quote</stp>
        <stp>instr77</stp>
        <stp>bid</stp>
        <tr r="B88" s="1"/>
      </tp>
      <tp>
        <v>37.992359045892954</v>
        <stp/>
        <stp>test</stp>
        <stp>quote</stp>
        <stp>instr74</stp>
        <stp>bid</stp>
        <tr r="B85" s="1"/>
      </tp>
      <tp>
        <v>98.215238261036575</v>
        <stp/>
        <stp>test</stp>
        <stp>quote</stp>
        <stp>instr75</stp>
        <stp>bid</stp>
        <tr r="B86" s="1"/>
      </tp>
      <tp>
        <v>56.803350592963398</v>
        <stp/>
        <stp>test</stp>
        <stp>quote</stp>
        <stp>instr68</stp>
        <stp>bid</stp>
        <tr r="B79" s="1"/>
      </tp>
      <tp>
        <v>60.885513457469642</v>
        <stp/>
        <stp>test</stp>
        <stp>quote</stp>
        <stp>instr69</stp>
        <stp>bid</stp>
        <tr r="B80" s="1"/>
      </tp>
      <tp>
        <v>9.3369944021105766</v>
        <stp/>
        <stp>test</stp>
        <stp>quote</stp>
        <stp>instr62</stp>
        <stp>bid</stp>
        <tr r="B73" s="1"/>
      </tp>
      <tp>
        <v>65.423834114335477</v>
        <stp/>
        <stp>test</stp>
        <stp>quote</stp>
        <stp>instr63</stp>
        <stp>bid</stp>
        <tr r="B74" s="1"/>
      </tp>
      <tp>
        <v>12.601671204902232</v>
        <stp/>
        <stp>test</stp>
        <stp>quote</stp>
        <stp>instr60</stp>
        <stp>bid</stp>
        <tr r="B71" s="1"/>
      </tp>
      <tp>
        <v>56.28765681758523</v>
        <stp/>
        <stp>test</stp>
        <stp>quote</stp>
        <stp>instr61</stp>
        <stp>bid</stp>
        <tr r="B72" s="1"/>
      </tp>
      <tp>
        <v>43.172542215324938</v>
        <stp/>
        <stp>test</stp>
        <stp>quote</stp>
        <stp>instr66</stp>
        <stp>bid</stp>
        <tr r="B77" s="1"/>
      </tp>
      <tp>
        <v>13.544280314818025</v>
        <stp/>
        <stp>test</stp>
        <stp>quote</stp>
        <stp>instr67</stp>
        <stp>bid</stp>
        <tr r="B78" s="1"/>
      </tp>
      <tp>
        <v>18.923375080339611</v>
        <stp/>
        <stp>test</stp>
        <stp>quote</stp>
        <stp>instr64</stp>
        <stp>bid</stp>
        <tr r="B75" s="1"/>
      </tp>
      <tp t="e">
        <v>#N/A</v>
        <stp/>
        <stp>test</stp>
        <stp>quote</stp>
        <stp>instr65</stp>
        <stp>bid</stp>
        <tr r="B76" s="1"/>
      </tp>
      <tp t="e">
        <v>#N/A</v>
        <stp/>
        <stp>test</stp>
        <stp>quote</stp>
        <stp>instr58</stp>
        <stp>bid</stp>
        <tr r="B69" s="1"/>
      </tp>
      <tp>
        <v>90.11314744129777</v>
        <stp/>
        <stp>test</stp>
        <stp>quote</stp>
        <stp>instr59</stp>
        <stp>bid</stp>
        <tr r="B70" s="1"/>
      </tp>
      <tp>
        <v>80.707400944083929</v>
        <stp/>
        <stp>test</stp>
        <stp>quote</stp>
        <stp>instr52</stp>
        <stp>bid</stp>
        <tr r="B63" s="1"/>
      </tp>
      <tp>
        <v>79.595282697118819</v>
        <stp/>
        <stp>test</stp>
        <stp>quote</stp>
        <stp>instr53</stp>
        <stp>bid</stp>
        <tr r="B64" s="1"/>
      </tp>
      <tp>
        <v>79.809695365838706</v>
        <stp/>
        <stp>test</stp>
        <stp>quote</stp>
        <stp>instr50</stp>
        <stp>bid</stp>
        <tr r="B61" s="1"/>
      </tp>
      <tp>
        <v>16.421348275616765</v>
        <stp/>
        <stp>test</stp>
        <stp>quote</stp>
        <stp>instr51</stp>
        <stp>bid</stp>
        <tr r="B62" s="1"/>
      </tp>
      <tp>
        <v>92.480144486762583</v>
        <stp/>
        <stp>test</stp>
        <stp>quote</stp>
        <stp>instr56</stp>
        <stp>bid</stp>
        <tr r="B67" s="1"/>
      </tp>
      <tp>
        <v>99.889565003104508</v>
        <stp/>
        <stp>test</stp>
        <stp>quote</stp>
        <stp>instr57</stp>
        <stp>bid</stp>
        <tr r="B68" s="1"/>
      </tp>
      <tp>
        <v>35.264248703606427</v>
        <stp/>
        <stp>test</stp>
        <stp>quote</stp>
        <stp>instr54</stp>
        <stp>bid</stp>
        <tr r="B65" s="1"/>
      </tp>
      <tp>
        <v>19.932047557085752</v>
        <stp/>
        <stp>test</stp>
        <stp>quote</stp>
        <stp>instr55</stp>
        <stp>bid</stp>
        <tr r="B66" s="1"/>
      </tp>
      <tp>
        <v>21.379079227335751</v>
        <stp/>
        <stp>test</stp>
        <stp>quote</stp>
        <stp>instr48</stp>
        <stp>bid</stp>
        <tr r="B59" s="1"/>
      </tp>
      <tp t="e">
        <v>#N/A</v>
        <stp/>
        <stp>test</stp>
        <stp>quote</stp>
        <stp>instr49</stp>
        <stp>bid</stp>
        <tr r="B60" s="1"/>
      </tp>
      <tp>
        <v>95.641123200766742</v>
        <stp/>
        <stp>test</stp>
        <stp>quote</stp>
        <stp>instr42</stp>
        <stp>bid</stp>
        <tr r="B53" s="1"/>
      </tp>
      <tp>
        <v>39.257363579235971</v>
        <stp/>
        <stp>test</stp>
        <stp>quote</stp>
        <stp>instr43</stp>
        <stp>bid</stp>
        <tr r="B54" s="1"/>
      </tp>
      <tp>
        <v>11.048275511711836</v>
        <stp/>
        <stp>test</stp>
        <stp>quote</stp>
        <stp>instr40</stp>
        <stp>bid</stp>
        <tr r="B51" s="1"/>
      </tp>
      <tp t="e">
        <v>#N/A</v>
        <stp/>
        <stp>test</stp>
        <stp>quote</stp>
        <stp>instr41</stp>
        <stp>bid</stp>
        <tr r="B52" s="1"/>
      </tp>
      <tp>
        <v>22.375171189196408</v>
        <stp/>
        <stp>test</stp>
        <stp>quote</stp>
        <stp>instr46</stp>
        <stp>bid</stp>
        <tr r="B57" s="1"/>
      </tp>
      <tp>
        <v>9.1003326466307044</v>
        <stp/>
        <stp>test</stp>
        <stp>quote</stp>
        <stp>instr47</stp>
        <stp>bid</stp>
        <tr r="B58" s="1"/>
      </tp>
      <tp t="e">
        <v>#N/A</v>
        <stp/>
        <stp>test</stp>
        <stp>quote</stp>
        <stp>instr44</stp>
        <stp>bid</stp>
        <tr r="B55" s="1"/>
      </tp>
      <tp t="e">
        <v>#N/A</v>
        <stp/>
        <stp>test</stp>
        <stp>quote</stp>
        <stp>instr45</stp>
        <stp>bid</stp>
        <tr r="B56" s="1"/>
      </tp>
      <tp>
        <v>3.745125001296401</v>
        <stp/>
        <stp>test</stp>
        <stp>quote</stp>
        <stp>instr38</stp>
        <stp>bid</stp>
        <tr r="B49" s="1"/>
      </tp>
      <tp t="e">
        <v>#N/A</v>
        <stp/>
        <stp>test</stp>
        <stp>quote</stp>
        <stp>instr39</stp>
        <stp>bid</stp>
        <tr r="B50" s="1"/>
      </tp>
      <tp t="e">
        <v>#N/A</v>
        <stp/>
        <stp>test</stp>
        <stp>quote</stp>
        <stp>instr32</stp>
        <stp>bid</stp>
        <tr r="B43" s="1"/>
      </tp>
      <tp>
        <v>42.860863427631557</v>
        <stp/>
        <stp>test</stp>
        <stp>quote</stp>
        <stp>instr33</stp>
        <stp>bid</stp>
        <tr r="B44" s="1"/>
      </tp>
      <tp t="e">
        <v>#N/A</v>
        <stp/>
        <stp>test</stp>
        <stp>quote</stp>
        <stp>instr30</stp>
        <stp>bid</stp>
        <tr r="B41" s="1"/>
      </tp>
      <tp>
        <v>31.032750406302512</v>
        <stp/>
        <stp>test</stp>
        <stp>quote</stp>
        <stp>instr31</stp>
        <stp>bid</stp>
        <tr r="B42" s="1"/>
      </tp>
      <tp>
        <v>54.156887507997453</v>
        <stp/>
        <stp>test</stp>
        <stp>quote</stp>
        <stp>instr36</stp>
        <stp>bid</stp>
        <tr r="B47" s="1"/>
      </tp>
      <tp>
        <v>92.872442957013845</v>
        <stp/>
        <stp>test</stp>
        <stp>quote</stp>
        <stp>instr37</stp>
        <stp>bid</stp>
        <tr r="B48" s="1"/>
      </tp>
      <tp>
        <v>59.436082188040018</v>
        <stp/>
        <stp>test</stp>
        <stp>quote</stp>
        <stp>instr34</stp>
        <stp>bid</stp>
        <tr r="B45" s="1"/>
      </tp>
      <tp>
        <v>58.60369885340333</v>
        <stp/>
        <stp>test</stp>
        <stp>quote</stp>
        <stp>instr35</stp>
        <stp>bid</stp>
        <tr r="B46" s="1"/>
      </tp>
      <tp>
        <v>15.585554088465869</v>
        <stp/>
        <stp>test</stp>
        <stp>quote</stp>
        <stp>instr28</stp>
        <stp>bid</stp>
        <tr r="B39" s="1"/>
      </tp>
      <tp t="e">
        <v>#N/A</v>
        <stp/>
        <stp>test</stp>
        <stp>quote</stp>
        <stp>instr29</stp>
        <stp>bid</stp>
        <tr r="B40" s="1"/>
      </tp>
      <tp>
        <v>72.246810048818588</v>
        <stp/>
        <stp>test</stp>
        <stp>quote</stp>
        <stp>instr22</stp>
        <stp>bid</stp>
        <tr r="B33" s="1"/>
      </tp>
      <tp>
        <v>32.010837737470865</v>
        <stp/>
        <stp>test</stp>
        <stp>quote</stp>
        <stp>instr23</stp>
        <stp>bid</stp>
        <tr r="B34" s="1"/>
      </tp>
      <tp>
        <v>53.644264629110694</v>
        <stp/>
        <stp>test</stp>
        <stp>quote</stp>
        <stp>instr20</stp>
        <stp>bid</stp>
        <tr r="B31" s="1"/>
      </tp>
      <tp t="e">
        <v>#N/A</v>
        <stp/>
        <stp>test</stp>
        <stp>quote</stp>
        <stp>instr21</stp>
        <stp>bid</stp>
        <tr r="B32" s="1"/>
      </tp>
      <tp t="e">
        <v>#N/A</v>
        <stp/>
        <stp>test</stp>
        <stp>quote</stp>
        <stp>instr26</stp>
        <stp>bid</stp>
        <tr r="B37" s="1"/>
      </tp>
      <tp>
        <v>38.053546543233097</v>
        <stp/>
        <stp>test</stp>
        <stp>quote</stp>
        <stp>instr27</stp>
        <stp>bid</stp>
        <tr r="B38" s="1"/>
      </tp>
      <tp>
        <v>8.2459286553785205</v>
        <stp/>
        <stp>test</stp>
        <stp>quote</stp>
        <stp>instr24</stp>
        <stp>bid</stp>
        <tr r="B35" s="1"/>
      </tp>
      <tp>
        <v>97.880113939754665</v>
        <stp/>
        <stp>test</stp>
        <stp>quote</stp>
        <stp>instr25</stp>
        <stp>bid</stp>
        <tr r="B36" s="1"/>
      </tp>
      <tp>
        <v>75.982584175653756</v>
        <stp/>
        <stp>test</stp>
        <stp>quote</stp>
        <stp>instr18</stp>
        <stp>bid</stp>
        <tr r="B29" s="1"/>
      </tp>
      <tp>
        <v>19.601107877679169</v>
        <stp/>
        <stp>test</stp>
        <stp>quote</stp>
        <stp>instr19</stp>
        <stp>bid</stp>
        <tr r="B30" s="1"/>
      </tp>
      <tp>
        <v>56.273350119590759</v>
        <stp/>
        <stp>test</stp>
        <stp>quote</stp>
        <stp>instr12</stp>
        <stp>bid</stp>
        <tr r="B23" s="1"/>
      </tp>
      <tp>
        <v>60.996431251987815</v>
        <stp/>
        <stp>test</stp>
        <stp>quote</stp>
        <stp>instr13</stp>
        <stp>bid</stp>
        <tr r="B24" s="1"/>
      </tp>
      <tp>
        <v>77.985310438089073</v>
        <stp/>
        <stp>test</stp>
        <stp>quote</stp>
        <stp>instr10</stp>
        <stp>bid</stp>
        <tr r="B21" s="1"/>
      </tp>
      <tp>
        <v>63.747296435758471</v>
        <stp/>
        <stp>test</stp>
        <stp>quote</stp>
        <stp>instr11</stp>
        <stp>bid</stp>
        <tr r="B22" s="1"/>
      </tp>
      <tp>
        <v>55.076145566999912</v>
        <stp/>
        <stp>test</stp>
        <stp>quote</stp>
        <stp>instr16</stp>
        <stp>bid</stp>
        <tr r="B27" s="1"/>
      </tp>
      <tp>
        <v>8.707019966095686</v>
        <stp/>
        <stp>test</stp>
        <stp>quote</stp>
        <stp>instr17</stp>
        <stp>bid</stp>
        <tr r="B28" s="1"/>
      </tp>
      <tp>
        <v>74.709498276934028</v>
        <stp/>
        <stp>test</stp>
        <stp>quote</stp>
        <stp>instr14</stp>
        <stp>bid</stp>
        <tr r="B25" s="1"/>
      </tp>
      <tp>
        <v>53.410999546758831</v>
        <stp/>
        <stp>test</stp>
        <stp>quote</stp>
        <stp>instr15</stp>
        <stp>bid</stp>
        <tr r="B26" s="1"/>
      </tp>
      <tp>
        <v>32.970932614989579</v>
        <stp/>
        <stp>test</stp>
        <stp>quote</stp>
        <stp>instr98</stp>
        <stp>bid</stp>
        <tr r="B109" s="1"/>
      </tp>
      <tp>
        <v>92.392843309789896</v>
        <stp/>
        <stp>test</stp>
        <stp>quote</stp>
        <stp>instr99</stp>
        <stp>bid</stp>
        <tr r="B110" s="1"/>
      </tp>
      <tp>
        <v>2.2420872235670686</v>
        <stp/>
        <stp>test</stp>
        <stp>quote</stp>
        <stp>instr92</stp>
        <stp>bid</stp>
        <tr r="B103" s="1"/>
      </tp>
      <tp>
        <v>7.7515029348433018</v>
        <stp/>
        <stp>test</stp>
        <stp>quote</stp>
        <stp>instr93</stp>
        <stp>bid</stp>
        <tr r="B104" s="1"/>
      </tp>
      <tp>
        <v>6.3308521173894405</v>
        <stp/>
        <stp>test</stp>
        <stp>quote</stp>
        <stp>instr90</stp>
        <stp>bid</stp>
        <tr r="B101" s="1"/>
      </tp>
      <tp>
        <v>47.792125423438847</v>
        <stp/>
        <stp>test</stp>
        <stp>quote</stp>
        <stp>instr91</stp>
        <stp>bid</stp>
        <tr r="B102" s="1"/>
      </tp>
      <tp>
        <v>75.791710615158081</v>
        <stp/>
        <stp>test</stp>
        <stp>quote</stp>
        <stp>instr96</stp>
        <stp>bid</stp>
        <tr r="B107" s="1"/>
      </tp>
      <tp>
        <v>12.221980444155633</v>
        <stp/>
        <stp>test</stp>
        <stp>quote</stp>
        <stp>instr97</stp>
        <stp>bid</stp>
        <tr r="B108" s="1"/>
      </tp>
      <tp>
        <v>60.660740477032959</v>
        <stp/>
        <stp>test</stp>
        <stp>quote</stp>
        <stp>instr94</stp>
        <stp>bid</stp>
        <tr r="B105" s="1"/>
      </tp>
      <tp t="e">
        <v>#N/A</v>
        <stp/>
        <stp>test</stp>
        <stp>quote</stp>
        <stp>instr95</stp>
        <stp>bid</stp>
        <tr r="B106" s="1"/>
      </tp>
      <tp>
        <v>20.118091348558664</v>
        <stp/>
        <stp>test</stp>
        <stp>quote</stp>
        <stp>instr88</stp>
        <stp>bid</stp>
        <tr r="B99" s="1"/>
      </tp>
      <tp>
        <v>34.796640463173389</v>
        <stp/>
        <stp>test</stp>
        <stp>quote</stp>
        <stp>instr89</stp>
        <stp>bid</stp>
        <tr r="B100" s="1"/>
      </tp>
      <tp>
        <v>37.979913130402565</v>
        <stp/>
        <stp>test</stp>
        <stp>quote</stp>
        <stp>instr82</stp>
        <stp>bid</stp>
        <tr r="B93" s="1"/>
      </tp>
      <tp>
        <v>54.275851650163531</v>
        <stp/>
        <stp>test</stp>
        <stp>quote</stp>
        <stp>instr83</stp>
        <stp>bid</stp>
        <tr r="B94" s="1"/>
      </tp>
      <tp>
        <v>32.426919532008469</v>
        <stp/>
        <stp>test</stp>
        <stp>quote</stp>
        <stp>instr80</stp>
        <stp>bid</stp>
        <tr r="B91" s="1"/>
      </tp>
      <tp>
        <v>11.791051458567381</v>
        <stp/>
        <stp>test</stp>
        <stp>quote</stp>
        <stp>instr81</stp>
        <stp>bid</stp>
        <tr r="B92" s="1"/>
      </tp>
      <tp>
        <v>10.066795977763832</v>
        <stp/>
        <stp>test</stp>
        <stp>quote</stp>
        <stp>instr86</stp>
        <stp>bid</stp>
        <tr r="B97" s="1"/>
      </tp>
      <tp>
        <v>19.935785955749452</v>
        <stp/>
        <stp>test</stp>
        <stp>quote</stp>
        <stp>instr87</stp>
        <stp>bid</stp>
        <tr r="B98" s="1"/>
      </tp>
      <tp>
        <v>47.780602355487645</v>
        <stp/>
        <stp>test</stp>
        <stp>quote</stp>
        <stp>instr84</stp>
        <stp>bid</stp>
        <tr r="B95" s="1"/>
      </tp>
      <tp>
        <v>4.6747691929340363</v>
        <stp/>
        <stp>test</stp>
        <stp>quote</stp>
        <stp>instr85</stp>
        <stp>bid</stp>
        <tr r="B96" s="1"/>
      </tp>
      <tp t="s">
        <v>instr17</v>
        <stp/>
        <stp>test</stp>
        <stp>quote</stp>
        <stp>`</stp>
        <stp>sym</stp>
        <stp/>
        <stp>26</stp>
        <tr r="E36" s="1"/>
      </tp>
      <tp t="s">
        <v>instr73</v>
        <stp/>
        <stp>test</stp>
        <stp>quote</stp>
        <stp>`</stp>
        <stp>sym</stp>
        <stp/>
        <stp>27</stp>
        <tr r="E37" s="1"/>
      </tp>
      <tp t="s">
        <v>instr14</v>
        <stp/>
        <stp>test</stp>
        <stp>quote</stp>
        <stp>`</stp>
        <stp>sym</stp>
        <stp/>
        <stp>24</stp>
        <tr r="E34" s="1"/>
      </tp>
      <tp t="s">
        <v>instr8</v>
        <stp/>
        <stp>test</stp>
        <stp>quote</stp>
        <stp>`</stp>
        <stp>sym</stp>
        <stp/>
        <stp>25</stp>
        <tr r="E35" s="1"/>
      </tp>
      <tp t="s">
        <v>instr28</v>
        <stp/>
        <stp>test</stp>
        <stp>quote</stp>
        <stp>`</stp>
        <stp>sym</stp>
        <stp/>
        <stp>22</stp>
        <tr r="E32" s="1"/>
      </tp>
      <tp t="s">
        <v>instr53</v>
        <stp/>
        <stp>test</stp>
        <stp>quote</stp>
        <stp>`</stp>
        <stp>sym</stp>
        <stp/>
        <stp>23</stp>
        <tr r="E33" s="1"/>
      </tp>
      <tp t="s">
        <v>instr64</v>
        <stp/>
        <stp>test</stp>
        <stp>quote</stp>
        <stp>`</stp>
        <stp>sym</stp>
        <stp/>
        <stp>20</stp>
        <tr r="E30" s="1"/>
      </tp>
      <tp t="s">
        <v>instr91</v>
        <stp/>
        <stp>test</stp>
        <stp>quote</stp>
        <stp>`</stp>
        <stp>sym</stp>
        <stp/>
        <stp>21</stp>
        <tr r="E31" s="1"/>
      </tp>
      <tp t="s">
        <v>instr34</v>
        <stp/>
        <stp>test</stp>
        <stp>quote</stp>
        <stp>`</stp>
        <stp>sym</stp>
        <stp/>
        <stp>28</stp>
        <tr r="E38" s="1"/>
      </tp>
      <tp t="s">
        <v>instr0</v>
        <stp/>
        <stp>test</stp>
        <stp>quote</stp>
        <stp>`</stp>
        <stp>sym</stp>
        <stp/>
        <stp>29</stp>
        <tr r="E39" s="1"/>
      </tp>
      <tp t="s">
        <v>instr79</v>
        <stp/>
        <stp>test</stp>
        <stp>quote</stp>
        <stp>`</stp>
        <stp>sym</stp>
        <stp/>
        <stp>36</stp>
        <tr r="E46" s="1"/>
      </tp>
      <tp t="s">
        <v>instr97</v>
        <stp/>
        <stp>test</stp>
        <stp>quote</stp>
        <stp>`</stp>
        <stp>sym</stp>
        <stp/>
        <stp>37</stp>
        <tr r="E47" s="1"/>
      </tp>
      <tp t="s">
        <v>instr15</v>
        <stp/>
        <stp>test</stp>
        <stp>quote</stp>
        <stp>`</stp>
        <stp>sym</stp>
        <stp/>
        <stp>34</stp>
        <tr r="E44" s="1"/>
      </tp>
      <tp t="s">
        <v>instr42</v>
        <stp/>
        <stp>test</stp>
        <stp>quote</stp>
        <stp>`</stp>
        <stp>sym</stp>
        <stp/>
        <stp>35</stp>
        <tr r="E45" s="1"/>
      </tp>
      <tp t="s">
        <v>instr84</v>
        <stp/>
        <stp>test</stp>
        <stp>quote</stp>
        <stp>`</stp>
        <stp>sym</stp>
        <stp/>
        <stp>32</stp>
        <tr r="E42" s="1"/>
      </tp>
      <tp t="s">
        <v>instr20</v>
        <stp/>
        <stp>test</stp>
        <stp>quote</stp>
        <stp>`</stp>
        <stp>sym</stp>
        <stp/>
        <stp>33</stp>
        <tr r="E43" s="1"/>
      </tp>
      <tp t="s">
        <v>instr43</v>
        <stp/>
        <stp>test</stp>
        <stp>quote</stp>
        <stp>`</stp>
        <stp>sym</stp>
        <stp/>
        <stp>30</stp>
        <tr r="E40" s="1"/>
      </tp>
      <tp t="s">
        <v>instr80</v>
        <stp/>
        <stp>test</stp>
        <stp>quote</stp>
        <stp>`</stp>
        <stp>sym</stp>
        <stp/>
        <stp>31</stp>
        <tr r="E41" s="1"/>
      </tp>
      <tp t="s">
        <v>instr52</v>
        <stp/>
        <stp>test</stp>
        <stp>quote</stp>
        <stp>`</stp>
        <stp>sym</stp>
        <stp/>
        <stp>38</stp>
        <tr r="E48" s="1"/>
      </tp>
      <tp t="s">
        <v>instr16</v>
        <stp/>
        <stp>test</stp>
        <stp>quote</stp>
        <stp>`</stp>
        <stp>sym</stp>
        <stp/>
        <stp>39</stp>
        <tr r="E49" s="1"/>
      </tp>
      <tp t="s">
        <v>instr2</v>
        <stp/>
        <stp>test</stp>
        <stp>quote</stp>
        <stp>`</stp>
        <stp>sym</stp>
        <stp/>
        <stp>16</stp>
        <tr r="E26" s="1"/>
      </tp>
      <tp t="s">
        <v>instr96</v>
        <stp/>
        <stp>test</stp>
        <stp>quote</stp>
        <stp>`</stp>
        <stp>sym</stp>
        <stp/>
        <stp>17</stp>
        <tr r="E27" s="1"/>
      </tp>
      <tp t="s">
        <v>instr33</v>
        <stp/>
        <stp>test</stp>
        <stp>quote</stp>
        <stp>`</stp>
        <stp>sym</stp>
        <stp/>
        <stp>14</stp>
        <tr r="E24" s="1"/>
      </tp>
      <tp t="s">
        <v>instr36</v>
        <stp/>
        <stp>test</stp>
        <stp>quote</stp>
        <stp>`</stp>
        <stp>sym</stp>
        <stp/>
        <stp>15</stp>
        <tr r="E25" s="1"/>
      </tp>
      <tp t="s">
        <v>instr47</v>
        <stp/>
        <stp>test</stp>
        <stp>quote</stp>
        <stp>`</stp>
        <stp>sym</stp>
        <stp/>
        <stp>12</stp>
        <tr r="E22" s="1"/>
      </tp>
      <tp t="s">
        <v>instr51</v>
        <stp/>
        <stp>test</stp>
        <stp>quote</stp>
        <stp>`</stp>
        <stp>sym</stp>
        <stp/>
        <stp>13</stp>
        <tr r="E23" s="1"/>
      </tp>
      <tp t="s">
        <v>instr22</v>
        <stp/>
        <stp>test</stp>
        <stp>quote</stp>
        <stp>`</stp>
        <stp>sym</stp>
        <stp/>
        <stp>10</stp>
        <tr r="E20" s="1"/>
      </tp>
      <tp t="s">
        <v>instr92</v>
        <stp/>
        <stp>test</stp>
        <stp>quote</stp>
        <stp>`</stp>
        <stp>sym</stp>
        <stp/>
        <stp>11</stp>
        <tr r="E21" s="1"/>
      </tp>
      <tp t="s">
        <v>instr77</v>
        <stp/>
        <stp>test</stp>
        <stp>quote</stp>
        <stp>`</stp>
        <stp>sym</stp>
        <stp/>
        <stp>18</stp>
        <tr r="E28" s="1"/>
      </tp>
      <tp t="s">
        <v>instr40</v>
        <stp/>
        <stp>test</stp>
        <stp>quote</stp>
        <stp>`</stp>
        <stp>sym</stp>
        <stp/>
        <stp>19</stp>
        <tr r="E29" s="1"/>
      </tp>
      <tp t="s">
        <v>instr83</v>
        <stp/>
        <stp>test</stp>
        <stp>quote</stp>
        <stp>`</stp>
        <stp>sym</stp>
        <stp/>
        <stp>66</stp>
        <tr r="E76" s="1"/>
      </tp>
      <tp t="s">
        <v>instr61</v>
        <stp/>
        <stp>test</stp>
        <stp>quote</stp>
        <stp>`</stp>
        <stp>sym</stp>
        <stp/>
        <stp>67</stp>
        <tr r="E77" s="1"/>
      </tp>
      <tp t="s">
        <v>instr11</v>
        <stp/>
        <stp>test</stp>
        <stp>quote</stp>
        <stp>`</stp>
        <stp>sym</stp>
        <stp/>
        <stp>64</stp>
        <tr r="E74" s="1"/>
      </tp>
      <tp t="s">
        <v>instr90</v>
        <stp/>
        <stp>test</stp>
        <stp>quote</stp>
        <stp>`</stp>
        <stp>sym</stp>
        <stp/>
        <stp>65</stp>
        <tr r="E75" s="1"/>
      </tp>
      <tp t="s">
        <v>instr13</v>
        <stp/>
        <stp>test</stp>
        <stp>quote</stp>
        <stp>`</stp>
        <stp>sym</stp>
        <stp/>
        <stp>62</stp>
        <tr r="E72" s="1"/>
      </tp>
      <tp t="s">
        <v>instr87</v>
        <stp/>
        <stp>test</stp>
        <stp>quote</stp>
        <stp>`</stp>
        <stp>sym</stp>
        <stp/>
        <stp>63</stp>
        <tr r="E73" s="1"/>
      </tp>
      <tp t="s">
        <v>instr93</v>
        <stp/>
        <stp>test</stp>
        <stp>quote</stp>
        <stp>`</stp>
        <stp>sym</stp>
        <stp/>
        <stp>60</stp>
        <tr r="E70" s="1"/>
      </tp>
      <tp t="s">
        <v>instr76</v>
        <stp/>
        <stp>test</stp>
        <stp>quote</stp>
        <stp>`</stp>
        <stp>sym</stp>
        <stp/>
        <stp>61</stp>
        <tr r="E71" s="1"/>
      </tp>
      <tp t="s">
        <v>instr6</v>
        <stp/>
        <stp>test</stp>
        <stp>quote</stp>
        <stp>`</stp>
        <stp>sym</stp>
        <stp/>
        <stp>68</stp>
        <tr r="E78" s="1"/>
      </tp>
      <tp t="s">
        <v>instr25</v>
        <stp/>
        <stp>test</stp>
        <stp>quote</stp>
        <stp>`</stp>
        <stp>sym</stp>
        <stp/>
        <stp>69</stp>
        <tr r="E79" s="1"/>
      </tp>
      <tp t="s">
        <v>instr18</v>
        <stp/>
        <stp>test</stp>
        <stp>quote</stp>
        <stp>`</stp>
        <stp>sym</stp>
        <stp/>
        <stp>76</stp>
        <tr r="E86" s="1"/>
      </tp>
      <tp t="s">
        <v>instr98</v>
        <stp/>
        <stp>test</stp>
        <stp>quote</stp>
        <stp>`</stp>
        <stp>sym</stp>
        <stp/>
        <stp>77</stp>
        <tr r="E87" s="1"/>
      </tp>
      <tp t="s">
        <v>instr74</v>
        <stp/>
        <stp>test</stp>
        <stp>quote</stp>
        <stp>`</stp>
        <stp>sym</stp>
        <stp/>
        <stp>74</stp>
        <tr r="E84" s="1"/>
      </tp>
      <tp t="s">
        <v>instr82</v>
        <stp/>
        <stp>test</stp>
        <stp>quote</stp>
        <stp>`</stp>
        <stp>sym</stp>
        <stp/>
        <stp>75</stp>
        <tr r="E85" s="1"/>
      </tp>
      <tp t="s">
        <v>instr10</v>
        <stp/>
        <stp>test</stp>
        <stp>quote</stp>
        <stp>`</stp>
        <stp>sym</stp>
        <stp/>
        <stp>72</stp>
        <tr r="E82" s="1"/>
      </tp>
      <tp t="s">
        <v>instr31</v>
        <stp/>
        <stp>test</stp>
        <stp>quote</stp>
        <stp>`</stp>
        <stp>sym</stp>
        <stp/>
        <stp>73</stp>
        <tr r="E83" s="1"/>
      </tp>
      <tp t="s">
        <v>instr56</v>
        <stp/>
        <stp>test</stp>
        <stp>quote</stp>
        <stp>`</stp>
        <stp>sym</stp>
        <stp/>
        <stp>70</stp>
        <tr r="E80" s="1"/>
      </tp>
      <tp t="s">
        <v>instr37</v>
        <stp/>
        <stp>test</stp>
        <stp>quote</stp>
        <stp>`</stp>
        <stp>sym</stp>
        <stp/>
        <stp>71</stp>
        <tr r="E81" s="1"/>
      </tp>
      <tp t="s">
        <v>instr86</v>
        <stp/>
        <stp>test</stp>
        <stp>quote</stp>
        <stp>`</stp>
        <stp>sym</stp>
        <stp/>
        <stp>78</stp>
        <tr r="E88" s="1"/>
      </tp>
      <tp t="s">
        <v>instr1</v>
        <stp/>
        <stp>test</stp>
        <stp>quote</stp>
        <stp>`</stp>
        <stp>sym</stp>
        <stp/>
        <stp>79</stp>
        <tr r="E89" s="1"/>
      </tp>
      <tp t="s">
        <v>instr75</v>
        <stp/>
        <stp>test</stp>
        <stp>quote</stp>
        <stp>`</stp>
        <stp>sym</stp>
        <stp/>
        <stp>46</stp>
        <tr r="E56" s="1"/>
      </tp>
      <tp t="s">
        <v>instr48</v>
        <stp/>
        <stp>test</stp>
        <stp>quote</stp>
        <stp>`</stp>
        <stp>sym</stp>
        <stp/>
        <stp>47</stp>
        <tr r="E57" s="1"/>
      </tp>
      <tp t="s">
        <v>instr46</v>
        <stp/>
        <stp>test</stp>
        <stp>quote</stp>
        <stp>`</stp>
        <stp>sym</stp>
        <stp/>
        <stp>44</stp>
        <tr r="E54" s="1"/>
      </tp>
      <tp t="s">
        <v>instr60</v>
        <stp/>
        <stp>test</stp>
        <stp>quote</stp>
        <stp>`</stp>
        <stp>sym</stp>
        <stp/>
        <stp>45</stp>
        <tr r="E55" s="1"/>
      </tp>
      <tp t="s">
        <v>instr12</v>
        <stp/>
        <stp>test</stp>
        <stp>quote</stp>
        <stp>`</stp>
        <stp>sym</stp>
        <stp/>
        <stp>42</stp>
        <tr r="E52" s="1"/>
      </tp>
      <tp t="s">
        <v>instr35</v>
        <stp/>
        <stp>test</stp>
        <stp>quote</stp>
        <stp>`</stp>
        <stp>sym</stp>
        <stp/>
        <stp>43</stp>
        <tr r="E53" s="1"/>
      </tp>
      <tp t="s">
        <v>instr94</v>
        <stp/>
        <stp>test</stp>
        <stp>quote</stp>
        <stp>`</stp>
        <stp>sym</stp>
        <stp/>
        <stp>40</stp>
        <tr r="E50" s="1"/>
      </tp>
      <tp t="s">
        <v>instr24</v>
        <stp/>
        <stp>test</stp>
        <stp>quote</stp>
        <stp>`</stp>
        <stp>sym</stp>
        <stp/>
        <stp>41</stp>
        <tr r="E51" s="1"/>
      </tp>
      <tp t="s">
        <v>instr89</v>
        <stp/>
        <stp>test</stp>
        <stp>quote</stp>
        <stp>`</stp>
        <stp>sym</stp>
        <stp/>
        <stp>48</stp>
        <tr r="E58" s="1"/>
      </tp>
      <tp t="s">
        <v>instr85</v>
        <stp/>
        <stp>test</stp>
        <stp>quote</stp>
        <stp>`</stp>
        <stp>sym</stp>
        <stp/>
        <stp>49</stp>
        <tr r="E59" s="1"/>
      </tp>
      <tp t="s">
        <v>instr9</v>
        <stp/>
        <stp>test</stp>
        <stp>quote</stp>
        <stp>`</stp>
        <stp>sym</stp>
        <stp/>
        <stp>56</stp>
        <tr r="E66" s="1"/>
      </tp>
      <tp t="s">
        <v>instr78</v>
        <stp/>
        <stp>test</stp>
        <stp>quote</stp>
        <stp>`</stp>
        <stp>sym</stp>
        <stp/>
        <stp>57</stp>
        <tr r="E67" s="1"/>
      </tp>
      <tp t="s">
        <v>instr66</v>
        <stp/>
        <stp>test</stp>
        <stp>quote</stp>
        <stp>`</stp>
        <stp>sym</stp>
        <stp/>
        <stp>54</stp>
        <tr r="E64" s="1"/>
      </tp>
      <tp t="s">
        <v>instr68</v>
        <stp/>
        <stp>test</stp>
        <stp>quote</stp>
        <stp>`</stp>
        <stp>sym</stp>
        <stp/>
        <stp>55</stp>
        <tr r="E65" s="1"/>
      </tp>
      <tp t="s">
        <v>instr81</v>
        <stp/>
        <stp>test</stp>
        <stp>quote</stp>
        <stp>`</stp>
        <stp>sym</stp>
        <stp/>
        <stp>52</stp>
        <tr r="E62" s="1"/>
      </tp>
      <tp t="s">
        <v>instr19</v>
        <stp/>
        <stp>test</stp>
        <stp>quote</stp>
        <stp>`</stp>
        <stp>sym</stp>
        <stp/>
        <stp>53</stp>
        <tr r="E63" s="1"/>
      </tp>
      <tp t="s">
        <v>instr23</v>
        <stp/>
        <stp>test</stp>
        <stp>quote</stp>
        <stp>`</stp>
        <stp>sym</stp>
        <stp/>
        <stp>50</stp>
        <tr r="E60" s="1"/>
      </tp>
      <tp t="s">
        <v>instr38</v>
        <stp/>
        <stp>test</stp>
        <stp>quote</stp>
        <stp>`</stp>
        <stp>sym</stp>
        <stp/>
        <stp>51</stp>
        <tr r="E61" s="1"/>
      </tp>
      <tp t="s">
        <v>instr71</v>
        <stp/>
        <stp>test</stp>
        <stp>quote</stp>
        <stp>`</stp>
        <stp>sym</stp>
        <stp/>
        <stp>58</stp>
        <tr r="E68" s="1"/>
      </tp>
      <tp t="s">
        <v>instr99</v>
        <stp/>
        <stp>test</stp>
        <stp>quote</stp>
        <stp>`</stp>
        <stp>sym</stp>
        <stp/>
        <stp>59</stp>
        <tr r="E69" s="1"/>
      </tp>
      <tp t="e">
        <v>#N/A</v>
        <stp/>
        <stp>test</stp>
        <stp>quote</stp>
        <stp>`</stp>
        <stp>sym</stp>
        <stp/>
        <stp>86</stp>
        <tr r="E96" s="1"/>
      </tp>
      <tp t="e">
        <v>#N/A</v>
        <stp/>
        <stp>test</stp>
        <stp>quote</stp>
        <stp>`</stp>
        <stp>sym</stp>
        <stp/>
        <stp>87</stp>
        <tr r="E97" s="1"/>
      </tp>
      <tp t="s">
        <v>instr63</v>
        <stp/>
        <stp>test</stp>
        <stp>quote</stp>
        <stp>`</stp>
        <stp>sym</stp>
        <stp/>
        <stp>84</stp>
        <tr r="E94" s="1"/>
      </tp>
      <tp t="e">
        <v>#N/A</v>
        <stp/>
        <stp>test</stp>
        <stp>quote</stp>
        <stp>`</stp>
        <stp>sym</stp>
        <stp/>
        <stp>85</stp>
        <tr r="E95" s="1"/>
      </tp>
      <tp t="s">
        <v>instr3</v>
        <stp/>
        <stp>test</stp>
        <stp>quote</stp>
        <stp>`</stp>
        <stp>sym</stp>
        <stp/>
        <stp>82</stp>
        <tr r="E92" s="1"/>
      </tp>
      <tp t="s">
        <v>instr72</v>
        <stp/>
        <stp>test</stp>
        <stp>quote</stp>
        <stp>`</stp>
        <stp>sym</stp>
        <stp/>
        <stp>83</stp>
        <tr r="E93" s="1"/>
      </tp>
      <tp t="s">
        <v>instr27</v>
        <stp/>
        <stp>test</stp>
        <stp>quote</stp>
        <stp>`</stp>
        <stp>sym</stp>
        <stp/>
        <stp>80</stp>
        <tr r="E90" s="1"/>
      </tp>
      <tp t="s">
        <v>instr67</v>
        <stp/>
        <stp>test</stp>
        <stp>quote</stp>
        <stp>`</stp>
        <stp>sym</stp>
        <stp/>
        <stp>81</stp>
        <tr r="E91" s="1"/>
      </tp>
      <tp t="e">
        <v>#N/A</v>
        <stp/>
        <stp>test</stp>
        <stp>quote</stp>
        <stp>`</stp>
        <stp>sym</stp>
        <stp/>
        <stp>88</stp>
        <tr r="E98" s="1"/>
      </tp>
      <tp t="e">
        <v>#N/A</v>
        <stp/>
        <stp>test</stp>
        <stp>quote</stp>
        <stp>`</stp>
        <stp>sym</stp>
        <stp/>
        <stp>89</stp>
        <tr r="E99" s="1"/>
      </tp>
      <tp t="e">
        <v>#N/A</v>
        <stp/>
        <stp>test</stp>
        <stp>quote</stp>
        <stp>`</stp>
        <stp>sym</stp>
        <stp/>
        <stp>96</stp>
        <tr r="E106" s="1"/>
      </tp>
      <tp t="e">
        <v>#N/A</v>
        <stp/>
        <stp>test</stp>
        <stp>quote</stp>
        <stp>`</stp>
        <stp>sym</stp>
        <stp/>
        <stp>97</stp>
        <tr r="E107" s="1"/>
      </tp>
      <tp t="e">
        <v>#N/A</v>
        <stp/>
        <stp>test</stp>
        <stp>quote</stp>
        <stp>`</stp>
        <stp>sym</stp>
        <stp/>
        <stp>94</stp>
        <tr r="E104" s="1"/>
      </tp>
      <tp t="e">
        <v>#N/A</v>
        <stp/>
        <stp>test</stp>
        <stp>quote</stp>
        <stp>`</stp>
        <stp>sym</stp>
        <stp/>
        <stp>95</stp>
        <tr r="E105" s="1"/>
      </tp>
      <tp t="e">
        <v>#N/A</v>
        <stp/>
        <stp>test</stp>
        <stp>quote</stp>
        <stp>`</stp>
        <stp>sym</stp>
        <stp/>
        <stp>92</stp>
        <tr r="E102" s="1"/>
      </tp>
      <tp t="e">
        <v>#N/A</v>
        <stp/>
        <stp>test</stp>
        <stp>quote</stp>
        <stp>`</stp>
        <stp>sym</stp>
        <stp/>
        <stp>93</stp>
        <tr r="E103" s="1"/>
      </tp>
      <tp t="e">
        <v>#N/A</v>
        <stp/>
        <stp>test</stp>
        <stp>quote</stp>
        <stp>`</stp>
        <stp>sym</stp>
        <stp/>
        <stp>90</stp>
        <tr r="E100" s="1"/>
      </tp>
      <tp t="e">
        <v>#N/A</v>
        <stp/>
        <stp>test</stp>
        <stp>quote</stp>
        <stp>`</stp>
        <stp>sym</stp>
        <stp/>
        <stp>91</stp>
        <tr r="E101" s="1"/>
      </tp>
      <tp t="e">
        <v>#N/A</v>
        <stp/>
        <stp>test</stp>
        <stp>quote</stp>
        <stp>`</stp>
        <stp>sym</stp>
        <stp/>
        <stp>98</stp>
        <tr r="E108" s="1"/>
      </tp>
      <tp t="e">
        <v>#N/A</v>
        <stp/>
        <stp>test</stp>
        <stp>quote</stp>
        <stp>`</stp>
        <stp>sym</stp>
        <stp/>
        <stp>99</stp>
        <tr r="E109" s="1"/>
      </tp>
      <tp t="e">
        <v>#N/A</v>
        <stp/>
        <stp>test</stp>
        <stp>quote</stp>
        <stp>`</stp>
        <stp>sym</stp>
        <stp/>
        <stp>100</stp>
        <tr r="E110" s="1"/>
      </tp>
      <tp t="e">
        <v>#N/A</v>
        <stp/>
        <stp>test</stp>
        <stp>quote</stp>
        <stp>`</stp>
        <stp>bid</stp>
        <stp/>
        <stp>100</stp>
        <tr r="F110" s="1"/>
      </tp>
      <tp>
        <v>87.130214972421527</v>
        <stp/>
        <stp>test</stp>
        <stp>quote</stp>
        <stp>instr8</stp>
        <stp>bid</stp>
        <tr r="B19" s="1"/>
      </tp>
      <tp>
        <v>96.616719197481871</v>
        <stp/>
        <stp>test</stp>
        <stp>quote</stp>
        <stp>instr9</stp>
        <stp>bid</stp>
        <tr r="B20" s="1"/>
      </tp>
      <tp>
        <v>19.096082891337574</v>
        <stp/>
        <stp>test</stp>
        <stp>quote</stp>
        <stp>instr2</stp>
        <stp>bid</stp>
        <tr r="B13" s="1"/>
      </tp>
      <tp>
        <v>44.895711122080684</v>
        <stp/>
        <stp>test</stp>
        <stp>quote</stp>
        <stp>instr3</stp>
        <stp>bid</stp>
        <tr r="B14" s="1"/>
      </tp>
      <tp>
        <v>38.671342679299414</v>
        <stp/>
        <stp>test</stp>
        <stp>quote</stp>
        <stp>instr0</stp>
        <stp>bid</stp>
        <tr r="B11" s="1"/>
      </tp>
      <tp>
        <v>77.101654186844826</v>
        <stp/>
        <stp>test</stp>
        <stp>quote</stp>
        <stp>instr1</stp>
        <stp>bid</stp>
        <tr r="B12" s="1"/>
      </tp>
      <tp>
        <v>58.885649894364178</v>
        <stp/>
        <stp>test</stp>
        <stp>quote</stp>
        <stp>instr6</stp>
        <stp>bid</stp>
        <tr r="B17" s="1"/>
      </tp>
      <tp>
        <v>0.95307757146656513</v>
        <stp/>
        <stp>test</stp>
        <stp>quote</stp>
        <stp>instr7</stp>
        <stp>bid</stp>
        <tr r="B18" s="1"/>
      </tp>
      <tp t="e">
        <v>#N/A</v>
        <stp/>
        <stp>test</stp>
        <stp>quote</stp>
        <stp>instr4</stp>
        <stp>bid</stp>
        <tr r="B15" s="1"/>
      </tp>
      <tp t="e">
        <v>#N/A</v>
        <stp/>
        <stp>test</stp>
        <stp>quote</stp>
        <stp>instr5</stp>
        <stp>bid</stp>
        <tr r="B16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10"/>
  <sheetViews>
    <sheetView tabSelected="1" workbookViewId="0">
      <selection activeCell="B12" sqref="B12"/>
    </sheetView>
  </sheetViews>
  <sheetFormatPr defaultRowHeight="15" x14ac:dyDescent="0.25"/>
  <cols>
    <col min="1" max="1" width="30.5703125" style="5" customWidth="1"/>
    <col min="2" max="2" width="89.5703125" style="7" customWidth="1"/>
    <col min="3" max="14" width="9.140625" style="5"/>
    <col min="15" max="15" width="4.42578125" style="5" customWidth="1"/>
    <col min="16" max="16" width="99.7109375" style="6" customWidth="1"/>
    <col min="17" max="16384" width="9.140625" style="5"/>
  </cols>
  <sheetData>
    <row r="1" spans="1:16" x14ac:dyDescent="0.25">
      <c r="A1" s="3" t="s">
        <v>5</v>
      </c>
      <c r="B1" s="4" t="s">
        <v>115</v>
      </c>
      <c r="P1"/>
    </row>
    <row r="2" spans="1:16" ht="24.75" x14ac:dyDescent="0.25">
      <c r="A2" s="1" t="s">
        <v>0</v>
      </c>
      <c r="B2" s="2" t="s">
        <v>2</v>
      </c>
      <c r="P2" s="10" t="s">
        <v>10</v>
      </c>
    </row>
    <row r="3" spans="1:16" ht="34.5" x14ac:dyDescent="0.25">
      <c r="A3" s="3" t="s">
        <v>1</v>
      </c>
      <c r="B3" s="4">
        <v>17010</v>
      </c>
      <c r="P3" s="11" t="s">
        <v>11</v>
      </c>
    </row>
    <row r="4" spans="1:16" x14ac:dyDescent="0.25">
      <c r="A4" s="1" t="s">
        <v>3</v>
      </c>
      <c r="B4" s="4"/>
      <c r="P4" s="12" t="s">
        <v>8</v>
      </c>
    </row>
    <row r="5" spans="1:16" ht="17.25" x14ac:dyDescent="0.25">
      <c r="A5" s="3" t="s">
        <v>4</v>
      </c>
      <c r="P5" s="11" t="s">
        <v>12</v>
      </c>
    </row>
    <row r="6" spans="1:16" ht="17.25" x14ac:dyDescent="0.25">
      <c r="P6" s="13" t="s">
        <v>116</v>
      </c>
    </row>
    <row r="7" spans="1:16" ht="17.25" x14ac:dyDescent="0.25">
      <c r="A7" s="5" t="s">
        <v>7</v>
      </c>
      <c r="B7" s="8" t="str">
        <f>_xll.qRtdOpen(B1,B2,B3,B4,B5)</f>
        <v>test</v>
      </c>
      <c r="P7" s="13" t="s">
        <v>117</v>
      </c>
    </row>
    <row r="8" spans="1:16" ht="17.25" x14ac:dyDescent="0.25">
      <c r="A8" s="5" t="s">
        <v>6</v>
      </c>
      <c r="B8" s="7" t="s">
        <v>9</v>
      </c>
      <c r="E8" s="9"/>
      <c r="P8" s="13" t="s">
        <v>118</v>
      </c>
    </row>
    <row r="9" spans="1:16" x14ac:dyDescent="0.25">
      <c r="E9" s="9"/>
      <c r="P9" s="13"/>
    </row>
    <row r="10" spans="1:16" x14ac:dyDescent="0.25">
      <c r="B10" s="7" t="s">
        <v>125</v>
      </c>
      <c r="E10" s="9" t="s">
        <v>126</v>
      </c>
      <c r="P10" s="13"/>
    </row>
    <row r="11" spans="1:16" ht="17.25" x14ac:dyDescent="0.25">
      <c r="A11" s="5" t="s">
        <v>15</v>
      </c>
      <c r="B11" s="5">
        <f>RTD("qxlrtd",,$B$1,$B$8,$A11,"bid")</f>
        <v>38.671342679299414</v>
      </c>
      <c r="D11" s="5">
        <v>1</v>
      </c>
      <c r="E11" s="5" t="str">
        <f>RTD("qxlrtd",,$B$1,$B$8,"`","sym","",D11)</f>
        <v>instr88</v>
      </c>
      <c r="F11" s="5">
        <f>RTD("qxlrtd",,$B$1,$B$8,"`","bid","",D11)</f>
        <v>20.118091348558664</v>
      </c>
      <c r="P11" s="13" t="s">
        <v>119</v>
      </c>
    </row>
    <row r="12" spans="1:16" ht="17.25" x14ac:dyDescent="0.25">
      <c r="A12" s="5" t="s">
        <v>16</v>
      </c>
      <c r="B12" s="5">
        <f>RTD("qxlrtd",,$B$1,$B$8,$A12,"bid")</f>
        <v>77.101654186844826</v>
      </c>
      <c r="D12" s="5">
        <v>2</v>
      </c>
      <c r="E12" s="5" t="str">
        <f>RTD("qxlrtd",,$B$1,$B$8,"`","sym","",D12)</f>
        <v>instr7</v>
      </c>
      <c r="F12" s="5">
        <f>RTD("qxlrtd",,$B$1,$B$8,"`","bid","",D12)</f>
        <v>0.95307757146656513</v>
      </c>
      <c r="P12" s="13" t="s">
        <v>120</v>
      </c>
    </row>
    <row r="13" spans="1:16" ht="34.5" x14ac:dyDescent="0.25">
      <c r="A13" s="5" t="s">
        <v>17</v>
      </c>
      <c r="B13" s="5">
        <f>RTD("qxlrtd",,$B$1,$B$8,$A13,"bid")</f>
        <v>19.096082891337574</v>
      </c>
      <c r="D13" s="5">
        <v>3</v>
      </c>
      <c r="E13" s="5" t="str">
        <f>RTD("qxlrtd",,$B$1,$B$8,"`","sym","",D13)</f>
        <v>instr59</v>
      </c>
      <c r="F13" s="5">
        <f>RTD("qxlrtd",,$B$1,$B$8,"`","bid","",D13)</f>
        <v>90.11314744129777</v>
      </c>
      <c r="P13" s="13" t="s">
        <v>121</v>
      </c>
    </row>
    <row r="14" spans="1:16" ht="34.5" x14ac:dyDescent="0.25">
      <c r="A14" s="5" t="s">
        <v>18</v>
      </c>
      <c r="B14" s="5">
        <f>RTD("qxlrtd",,$B$1,$B$8,$A14,"bid")</f>
        <v>44.895711122080684</v>
      </c>
      <c r="D14" s="5">
        <v>4</v>
      </c>
      <c r="E14" s="5" t="str">
        <f>RTD("qxlrtd",,$B$1,$B$8,"`","sym","",D14)</f>
        <v>instr62</v>
      </c>
      <c r="F14" s="5">
        <f>RTD("qxlrtd",,$B$1,$B$8,"`","bid","",D14)</f>
        <v>9.3369944021105766</v>
      </c>
      <c r="P14" s="13" t="s">
        <v>122</v>
      </c>
    </row>
    <row r="15" spans="1:16" ht="17.25" x14ac:dyDescent="0.25">
      <c r="A15" s="5" t="s">
        <v>19</v>
      </c>
      <c r="B15" s="5" t="e">
        <f>RTD("qxlrtd",,$B$1,$B$8,$A15,"bid")</f>
        <v>#N/A</v>
      </c>
      <c r="D15" s="5">
        <v>5</v>
      </c>
      <c r="E15" s="5" t="str">
        <f>RTD("qxlrtd",,$B$1,$B$8,"`","sym","",D15)</f>
        <v>instr69</v>
      </c>
      <c r="F15" s="5">
        <f>RTD("qxlrtd",,$B$1,$B$8,"`","bid","",D15)</f>
        <v>60.885513457469642</v>
      </c>
      <c r="P15" s="13" t="s">
        <v>123</v>
      </c>
    </row>
    <row r="16" spans="1:16" ht="17.25" x14ac:dyDescent="0.25">
      <c r="A16" s="5" t="s">
        <v>20</v>
      </c>
      <c r="B16" s="5" t="e">
        <f>RTD("qxlrtd",,$B$1,$B$8,$A16,"bid")</f>
        <v>#N/A</v>
      </c>
      <c r="D16" s="5">
        <v>6</v>
      </c>
      <c r="E16" s="5" t="str">
        <f>RTD("qxlrtd",,$B$1,$B$8,"`","sym","",D16)</f>
        <v>instr57</v>
      </c>
      <c r="F16" s="5">
        <f>RTD("qxlrtd",,$B$1,$B$8,"`","bid","",D16)</f>
        <v>99.889565003104508</v>
      </c>
      <c r="P16" s="14" t="s">
        <v>13</v>
      </c>
    </row>
    <row r="17" spans="1:16" ht="86.25" x14ac:dyDescent="0.25">
      <c r="A17" s="5" t="s">
        <v>21</v>
      </c>
      <c r="B17" s="5">
        <f>RTD("qxlrtd",,$B$1,$B$8,$A17,"bid")</f>
        <v>58.885649894364178</v>
      </c>
      <c r="D17" s="5">
        <v>7</v>
      </c>
      <c r="E17" s="5" t="str">
        <f>RTD("qxlrtd",,$B$1,$B$8,"`","sym","",D17)</f>
        <v>instr54</v>
      </c>
      <c r="F17" s="5">
        <f>RTD("qxlrtd",,$B$1,$B$8,"`","bid","",D17)</f>
        <v>35.264248703606427</v>
      </c>
      <c r="P17" s="14" t="s">
        <v>124</v>
      </c>
    </row>
    <row r="18" spans="1:16" ht="34.5" x14ac:dyDescent="0.25">
      <c r="A18" s="5" t="s">
        <v>22</v>
      </c>
      <c r="B18" s="5">
        <f>RTD("qxlrtd",,$B$1,$B$8,$A18,"bid")</f>
        <v>0.95307757146656513</v>
      </c>
      <c r="D18" s="5">
        <v>8</v>
      </c>
      <c r="E18" s="5" t="str">
        <f>RTD("qxlrtd",,$B$1,$B$8,"`","sym","",D18)</f>
        <v>instr50</v>
      </c>
      <c r="F18" s="5">
        <f>RTD("qxlrtd",,$B$1,$B$8,"`","bid","",D18)</f>
        <v>79.809695365838706</v>
      </c>
      <c r="P18" s="11" t="s">
        <v>14</v>
      </c>
    </row>
    <row r="19" spans="1:16" x14ac:dyDescent="0.25">
      <c r="A19" s="5" t="s">
        <v>23</v>
      </c>
      <c r="B19" s="5">
        <f>RTD("qxlrtd",,$B$1,$B$8,$A19,"bid")</f>
        <v>87.130214972421527</v>
      </c>
      <c r="D19" s="5">
        <v>9</v>
      </c>
      <c r="E19" s="5" t="str">
        <f>RTD("qxlrtd",,$B$1,$B$8,"`","sym","",D19)</f>
        <v>instr55</v>
      </c>
      <c r="F19" s="5">
        <f>RTD("qxlrtd",,$B$1,$B$8,"`","bid","",D19)</f>
        <v>19.932047557085752</v>
      </c>
    </row>
    <row r="20" spans="1:16" x14ac:dyDescent="0.25">
      <c r="A20" s="5" t="s">
        <v>24</v>
      </c>
      <c r="B20" s="5">
        <f>RTD("qxlrtd",,$B$1,$B$8,$A20,"bid")</f>
        <v>96.616719197481871</v>
      </c>
      <c r="D20" s="5">
        <v>10</v>
      </c>
      <c r="E20" s="5" t="str">
        <f>RTD("qxlrtd",,$B$1,$B$8,"`","sym","",D20)</f>
        <v>instr22</v>
      </c>
      <c r="F20" s="5">
        <f>RTD("qxlrtd",,$B$1,$B$8,"`","bid","",D20)</f>
        <v>72.246810048818588</v>
      </c>
    </row>
    <row r="21" spans="1:16" x14ac:dyDescent="0.25">
      <c r="A21" s="5" t="s">
        <v>25</v>
      </c>
      <c r="B21" s="5">
        <f>RTD("qxlrtd",,$B$1,$B$8,$A21,"bid")</f>
        <v>77.985310438089073</v>
      </c>
      <c r="D21" s="5">
        <v>11</v>
      </c>
      <c r="E21" s="5" t="str">
        <f>RTD("qxlrtd",,$B$1,$B$8,"`","sym","",D21)</f>
        <v>instr92</v>
      </c>
      <c r="F21" s="5">
        <f>RTD("qxlrtd",,$B$1,$B$8,"`","bid","",D21)</f>
        <v>2.2420872235670686</v>
      </c>
    </row>
    <row r="22" spans="1:16" x14ac:dyDescent="0.25">
      <c r="A22" s="5" t="s">
        <v>26</v>
      </c>
      <c r="B22" s="5">
        <f>RTD("qxlrtd",,$B$1,$B$8,$A22,"bid")</f>
        <v>63.747296435758471</v>
      </c>
      <c r="D22" s="5">
        <v>12</v>
      </c>
      <c r="E22" s="5" t="str">
        <f>RTD("qxlrtd",,$B$1,$B$8,"`","sym","",D22)</f>
        <v>instr47</v>
      </c>
      <c r="F22" s="5">
        <f>RTD("qxlrtd",,$B$1,$B$8,"`","bid","",D22)</f>
        <v>9.1003326466307044</v>
      </c>
    </row>
    <row r="23" spans="1:16" x14ac:dyDescent="0.25">
      <c r="A23" s="5" t="s">
        <v>27</v>
      </c>
      <c r="B23" s="5">
        <f>RTD("qxlrtd",,$B$1,$B$8,$A23,"bid")</f>
        <v>56.273350119590759</v>
      </c>
      <c r="D23" s="5">
        <v>13</v>
      </c>
      <c r="E23" s="5" t="str">
        <f>RTD("qxlrtd",,$B$1,$B$8,"`","sym","",D23)</f>
        <v>instr51</v>
      </c>
      <c r="F23" s="5">
        <f>RTD("qxlrtd",,$B$1,$B$8,"`","bid","",D23)</f>
        <v>16.421348275616765</v>
      </c>
    </row>
    <row r="24" spans="1:16" x14ac:dyDescent="0.25">
      <c r="A24" s="5" t="s">
        <v>28</v>
      </c>
      <c r="B24" s="5">
        <f>RTD("qxlrtd",,$B$1,$B$8,$A24,"bid")</f>
        <v>60.996431251987815</v>
      </c>
      <c r="D24" s="5">
        <v>14</v>
      </c>
      <c r="E24" s="5" t="str">
        <f>RTD("qxlrtd",,$B$1,$B$8,"`","sym","",D24)</f>
        <v>instr33</v>
      </c>
      <c r="F24" s="5">
        <f>RTD("qxlrtd",,$B$1,$B$8,"`","bid","",D24)</f>
        <v>42.860863427631557</v>
      </c>
    </row>
    <row r="25" spans="1:16" x14ac:dyDescent="0.25">
      <c r="A25" s="5" t="s">
        <v>29</v>
      </c>
      <c r="B25" s="5">
        <f>RTD("qxlrtd",,$B$1,$B$8,$A25,"bid")</f>
        <v>74.709498276934028</v>
      </c>
      <c r="D25" s="5">
        <v>15</v>
      </c>
      <c r="E25" s="5" t="str">
        <f>RTD("qxlrtd",,$B$1,$B$8,"`","sym","",D25)</f>
        <v>instr36</v>
      </c>
      <c r="F25" s="5">
        <f>RTD("qxlrtd",,$B$1,$B$8,"`","bid","",D25)</f>
        <v>54.156887507997453</v>
      </c>
    </row>
    <row r="26" spans="1:16" x14ac:dyDescent="0.25">
      <c r="A26" s="5" t="s">
        <v>30</v>
      </c>
      <c r="B26" s="5">
        <f>RTD("qxlrtd",,$B$1,$B$8,$A26,"bid")</f>
        <v>53.410999546758831</v>
      </c>
      <c r="D26" s="5">
        <v>16</v>
      </c>
      <c r="E26" s="5" t="str">
        <f>RTD("qxlrtd",,$B$1,$B$8,"`","sym","",D26)</f>
        <v>instr2</v>
      </c>
      <c r="F26" s="5">
        <f>RTD("qxlrtd",,$B$1,$B$8,"`","bid","",D26)</f>
        <v>19.096082891337574</v>
      </c>
    </row>
    <row r="27" spans="1:16" x14ac:dyDescent="0.25">
      <c r="A27" s="5" t="s">
        <v>31</v>
      </c>
      <c r="B27" s="5">
        <f>RTD("qxlrtd",,$B$1,$B$8,$A27,"bid")</f>
        <v>55.076145566999912</v>
      </c>
      <c r="D27" s="5">
        <v>17</v>
      </c>
      <c r="E27" s="5" t="str">
        <f>RTD("qxlrtd",,$B$1,$B$8,"`","sym","",D27)</f>
        <v>instr96</v>
      </c>
      <c r="F27" s="5">
        <f>RTD("qxlrtd",,$B$1,$B$8,"`","bid","",D27)</f>
        <v>75.791710615158081</v>
      </c>
    </row>
    <row r="28" spans="1:16" x14ac:dyDescent="0.25">
      <c r="A28" s="5" t="s">
        <v>32</v>
      </c>
      <c r="B28" s="5">
        <f>RTD("qxlrtd",,$B$1,$B$8,$A28,"bid")</f>
        <v>8.707019966095686</v>
      </c>
      <c r="D28" s="5">
        <v>18</v>
      </c>
      <c r="E28" s="5" t="str">
        <f>RTD("qxlrtd",,$B$1,$B$8,"`","sym","",D28)</f>
        <v>instr77</v>
      </c>
      <c r="F28" s="5">
        <f>RTD("qxlrtd",,$B$1,$B$8,"`","bid","",D28)</f>
        <v>91.072434326633811</v>
      </c>
    </row>
    <row r="29" spans="1:16" x14ac:dyDescent="0.25">
      <c r="A29" s="5" t="s">
        <v>33</v>
      </c>
      <c r="B29" s="5">
        <f>RTD("qxlrtd",,$B$1,$B$8,$A29,"bid")</f>
        <v>75.982584175653756</v>
      </c>
      <c r="D29" s="5">
        <v>19</v>
      </c>
      <c r="E29" s="5" t="str">
        <f>RTD("qxlrtd",,$B$1,$B$8,"`","sym","",D29)</f>
        <v>instr40</v>
      </c>
      <c r="F29" s="5">
        <f>RTD("qxlrtd",,$B$1,$B$8,"`","bid","",D29)</f>
        <v>11.048275511711836</v>
      </c>
    </row>
    <row r="30" spans="1:16" x14ac:dyDescent="0.25">
      <c r="A30" s="5" t="s">
        <v>34</v>
      </c>
      <c r="B30" s="5">
        <f>RTD("qxlrtd",,$B$1,$B$8,$A30,"bid")</f>
        <v>19.601107877679169</v>
      </c>
      <c r="D30" s="5">
        <v>20</v>
      </c>
      <c r="E30" s="5" t="str">
        <f>RTD("qxlrtd",,$B$1,$B$8,"`","sym","",D30)</f>
        <v>instr64</v>
      </c>
      <c r="F30" s="5">
        <f>RTD("qxlrtd",,$B$1,$B$8,"`","bid","",D30)</f>
        <v>18.923375080339611</v>
      </c>
    </row>
    <row r="31" spans="1:16" x14ac:dyDescent="0.25">
      <c r="A31" s="5" t="s">
        <v>35</v>
      </c>
      <c r="B31" s="5">
        <f>RTD("qxlrtd",,$B$1,$B$8,$A31,"bid")</f>
        <v>53.644264629110694</v>
      </c>
      <c r="D31" s="5">
        <v>21</v>
      </c>
      <c r="E31" s="5" t="str">
        <f>RTD("qxlrtd",,$B$1,$B$8,"`","sym","",D31)</f>
        <v>instr91</v>
      </c>
      <c r="F31" s="5">
        <f>RTD("qxlrtd",,$B$1,$B$8,"`","bid","",D31)</f>
        <v>47.792125423438847</v>
      </c>
    </row>
    <row r="32" spans="1:16" x14ac:dyDescent="0.25">
      <c r="A32" s="5" t="s">
        <v>36</v>
      </c>
      <c r="B32" s="5" t="e">
        <f>RTD("qxlrtd",,$B$1,$B$8,$A32,"bid")</f>
        <v>#N/A</v>
      </c>
      <c r="D32" s="5">
        <v>22</v>
      </c>
      <c r="E32" s="5" t="str">
        <f>RTD("qxlrtd",,$B$1,$B$8,"`","sym","",D32)</f>
        <v>instr28</v>
      </c>
      <c r="F32" s="5">
        <f>RTD("qxlrtd",,$B$1,$B$8,"`","bid","",D32)</f>
        <v>15.585554088465869</v>
      </c>
    </row>
    <row r="33" spans="1:6" x14ac:dyDescent="0.25">
      <c r="A33" s="5" t="s">
        <v>37</v>
      </c>
      <c r="B33" s="5">
        <f>RTD("qxlrtd",,$B$1,$B$8,$A33,"bid")</f>
        <v>72.246810048818588</v>
      </c>
      <c r="D33" s="5">
        <v>23</v>
      </c>
      <c r="E33" s="5" t="str">
        <f>RTD("qxlrtd",,$B$1,$B$8,"`","sym","",D33)</f>
        <v>instr53</v>
      </c>
      <c r="F33" s="5">
        <f>RTD("qxlrtd",,$B$1,$B$8,"`","bid","",D33)</f>
        <v>79.595282697118819</v>
      </c>
    </row>
    <row r="34" spans="1:6" x14ac:dyDescent="0.25">
      <c r="A34" s="5" t="s">
        <v>38</v>
      </c>
      <c r="B34" s="5">
        <f>RTD("qxlrtd",,$B$1,$B$8,$A34,"bid")</f>
        <v>32.010837737470865</v>
      </c>
      <c r="D34" s="5">
        <v>24</v>
      </c>
      <c r="E34" s="5" t="str">
        <f>RTD("qxlrtd",,$B$1,$B$8,"`","sym","",D34)</f>
        <v>instr14</v>
      </c>
      <c r="F34" s="5">
        <f>RTD("qxlrtd",,$B$1,$B$8,"`","bid","",D34)</f>
        <v>74.709498276934028</v>
      </c>
    </row>
    <row r="35" spans="1:6" x14ac:dyDescent="0.25">
      <c r="A35" s="5" t="s">
        <v>39</v>
      </c>
      <c r="B35" s="5">
        <f>RTD("qxlrtd",,$B$1,$B$8,$A35,"bid")</f>
        <v>8.2459286553785205</v>
      </c>
      <c r="D35" s="5">
        <v>25</v>
      </c>
      <c r="E35" s="5" t="str">
        <f>RTD("qxlrtd",,$B$1,$B$8,"`","sym","",D35)</f>
        <v>instr8</v>
      </c>
      <c r="F35" s="5">
        <f>RTD("qxlrtd",,$B$1,$B$8,"`","bid","",D35)</f>
        <v>87.130214972421527</v>
      </c>
    </row>
    <row r="36" spans="1:6" x14ac:dyDescent="0.25">
      <c r="A36" s="5" t="s">
        <v>40</v>
      </c>
      <c r="B36" s="5">
        <f>RTD("qxlrtd",,$B$1,$B$8,$A36,"bid")</f>
        <v>97.880113939754665</v>
      </c>
      <c r="D36" s="5">
        <v>26</v>
      </c>
      <c r="E36" s="5" t="str">
        <f>RTD("qxlrtd",,$B$1,$B$8,"`","sym","",D36)</f>
        <v>instr17</v>
      </c>
      <c r="F36" s="5">
        <f>RTD("qxlrtd",,$B$1,$B$8,"`","bid","",D36)</f>
        <v>8.707019966095686</v>
      </c>
    </row>
    <row r="37" spans="1:6" x14ac:dyDescent="0.25">
      <c r="A37" s="5" t="s">
        <v>41</v>
      </c>
      <c r="B37" s="5" t="e">
        <f>RTD("qxlrtd",,$B$1,$B$8,$A37,"bid")</f>
        <v>#N/A</v>
      </c>
      <c r="D37" s="5">
        <v>27</v>
      </c>
      <c r="E37" s="5" t="str">
        <f>RTD("qxlrtd",,$B$1,$B$8,"`","sym","",D37)</f>
        <v>instr73</v>
      </c>
      <c r="F37" s="5">
        <f>RTD("qxlrtd",,$B$1,$B$8,"`","bid","",D37)</f>
        <v>96.570491418242455</v>
      </c>
    </row>
    <row r="38" spans="1:6" x14ac:dyDescent="0.25">
      <c r="A38" s="5" t="s">
        <v>42</v>
      </c>
      <c r="B38" s="5">
        <f>RTD("qxlrtd",,$B$1,$B$8,$A38,"bid")</f>
        <v>38.053546543233097</v>
      </c>
      <c r="D38" s="5">
        <v>28</v>
      </c>
      <c r="E38" s="5" t="str">
        <f>RTD("qxlrtd",,$B$1,$B$8,"`","sym","",D38)</f>
        <v>instr34</v>
      </c>
      <c r="F38" s="5">
        <f>RTD("qxlrtd",,$B$1,$B$8,"`","bid","",D38)</f>
        <v>59.436082188040018</v>
      </c>
    </row>
    <row r="39" spans="1:6" x14ac:dyDescent="0.25">
      <c r="A39" s="5" t="s">
        <v>43</v>
      </c>
      <c r="B39" s="5">
        <f>RTD("qxlrtd",,$B$1,$B$8,$A39,"bid")</f>
        <v>15.585554088465869</v>
      </c>
      <c r="D39" s="5">
        <v>29</v>
      </c>
      <c r="E39" s="5" t="str">
        <f>RTD("qxlrtd",,$B$1,$B$8,"`","sym","",D39)</f>
        <v>instr0</v>
      </c>
      <c r="F39" s="5">
        <f>RTD("qxlrtd",,$B$1,$B$8,"`","bid","",D39)</f>
        <v>38.671342679299414</v>
      </c>
    </row>
    <row r="40" spans="1:6" x14ac:dyDescent="0.25">
      <c r="A40" s="5" t="s">
        <v>44</v>
      </c>
      <c r="B40" s="5" t="e">
        <f>RTD("qxlrtd",,$B$1,$B$8,$A40,"bid")</f>
        <v>#N/A</v>
      </c>
      <c r="D40" s="5">
        <v>30</v>
      </c>
      <c r="E40" s="5" t="str">
        <f>RTD("qxlrtd",,$B$1,$B$8,"`","sym","",D40)</f>
        <v>instr43</v>
      </c>
      <c r="F40" s="5">
        <f>RTD("qxlrtd",,$B$1,$B$8,"`","bid","",D40)</f>
        <v>39.257363579235971</v>
      </c>
    </row>
    <row r="41" spans="1:6" x14ac:dyDescent="0.25">
      <c r="A41" s="5" t="s">
        <v>45</v>
      </c>
      <c r="B41" s="5" t="e">
        <f>RTD("qxlrtd",,$B$1,$B$8,$A41,"bid")</f>
        <v>#N/A</v>
      </c>
      <c r="D41" s="5">
        <v>31</v>
      </c>
      <c r="E41" s="5" t="str">
        <f>RTD("qxlrtd",,$B$1,$B$8,"`","sym","",D41)</f>
        <v>instr80</v>
      </c>
      <c r="F41" s="5">
        <f>RTD("qxlrtd",,$B$1,$B$8,"`","bid","",D41)</f>
        <v>32.426919532008469</v>
      </c>
    </row>
    <row r="42" spans="1:6" x14ac:dyDescent="0.25">
      <c r="A42" s="5" t="s">
        <v>46</v>
      </c>
      <c r="B42" s="5">
        <f>RTD("qxlrtd",,$B$1,$B$8,$A42,"bid")</f>
        <v>31.032750406302512</v>
      </c>
      <c r="D42" s="5">
        <v>32</v>
      </c>
      <c r="E42" s="5" t="str">
        <f>RTD("qxlrtd",,$B$1,$B$8,"`","sym","",D42)</f>
        <v>instr84</v>
      </c>
      <c r="F42" s="5">
        <f>RTD("qxlrtd",,$B$1,$B$8,"`","bid","",D42)</f>
        <v>47.780602355487645</v>
      </c>
    </row>
    <row r="43" spans="1:6" x14ac:dyDescent="0.25">
      <c r="A43" s="5" t="s">
        <v>47</v>
      </c>
      <c r="B43" s="5" t="e">
        <f>RTD("qxlrtd",,$B$1,$B$8,$A43,"bid")</f>
        <v>#N/A</v>
      </c>
      <c r="D43" s="5">
        <v>33</v>
      </c>
      <c r="E43" s="5" t="str">
        <f>RTD("qxlrtd",,$B$1,$B$8,"`","sym","",D43)</f>
        <v>instr20</v>
      </c>
      <c r="F43" s="5">
        <f>RTD("qxlrtd",,$B$1,$B$8,"`","bid","",D43)</f>
        <v>53.644264629110694</v>
      </c>
    </row>
    <row r="44" spans="1:6" x14ac:dyDescent="0.25">
      <c r="A44" s="5" t="s">
        <v>48</v>
      </c>
      <c r="B44" s="5">
        <f>RTD("qxlrtd",,$B$1,$B$8,$A44,"bid")</f>
        <v>42.860863427631557</v>
      </c>
      <c r="D44" s="5">
        <v>34</v>
      </c>
      <c r="E44" s="5" t="str">
        <f>RTD("qxlrtd",,$B$1,$B$8,"`","sym","",D44)</f>
        <v>instr15</v>
      </c>
      <c r="F44" s="5">
        <f>RTD("qxlrtd",,$B$1,$B$8,"`","bid","",D44)</f>
        <v>53.410999546758831</v>
      </c>
    </row>
    <row r="45" spans="1:6" x14ac:dyDescent="0.25">
      <c r="A45" s="5" t="s">
        <v>49</v>
      </c>
      <c r="B45" s="5">
        <f>RTD("qxlrtd",,$B$1,$B$8,$A45,"bid")</f>
        <v>59.436082188040018</v>
      </c>
      <c r="D45" s="5">
        <v>35</v>
      </c>
      <c r="E45" s="5" t="str">
        <f>RTD("qxlrtd",,$B$1,$B$8,"`","sym","",D45)</f>
        <v>instr42</v>
      </c>
      <c r="F45" s="5">
        <f>RTD("qxlrtd",,$B$1,$B$8,"`","bid","",D45)</f>
        <v>95.641123200766742</v>
      </c>
    </row>
    <row r="46" spans="1:6" x14ac:dyDescent="0.25">
      <c r="A46" s="5" t="s">
        <v>50</v>
      </c>
      <c r="B46" s="5">
        <f>RTD("qxlrtd",,$B$1,$B$8,$A46,"bid")</f>
        <v>58.60369885340333</v>
      </c>
      <c r="D46" s="5">
        <v>36</v>
      </c>
      <c r="E46" s="5" t="str">
        <f>RTD("qxlrtd",,$B$1,$B$8,"`","sym","",D46)</f>
        <v>instr79</v>
      </c>
      <c r="F46" s="5">
        <f>RTD("qxlrtd",,$B$1,$B$8,"`","bid","",D46)</f>
        <v>68.595143081620336</v>
      </c>
    </row>
    <row r="47" spans="1:6" x14ac:dyDescent="0.25">
      <c r="A47" s="5" t="s">
        <v>51</v>
      </c>
      <c r="B47" s="5">
        <f>RTD("qxlrtd",,$B$1,$B$8,$A47,"bid")</f>
        <v>54.156887507997453</v>
      </c>
      <c r="D47" s="5">
        <v>37</v>
      </c>
      <c r="E47" s="5" t="str">
        <f>RTD("qxlrtd",,$B$1,$B$8,"`","sym","",D47)</f>
        <v>instr97</v>
      </c>
      <c r="F47" s="5">
        <f>RTD("qxlrtd",,$B$1,$B$8,"`","bid","",D47)</f>
        <v>12.221980444155633</v>
      </c>
    </row>
    <row r="48" spans="1:6" x14ac:dyDescent="0.25">
      <c r="A48" s="5" t="s">
        <v>52</v>
      </c>
      <c r="B48" s="5">
        <f>RTD("qxlrtd",,$B$1,$B$8,$A48,"bid")</f>
        <v>92.872442957013845</v>
      </c>
      <c r="D48" s="5">
        <v>38</v>
      </c>
      <c r="E48" s="5" t="str">
        <f>RTD("qxlrtd",,$B$1,$B$8,"`","sym","",D48)</f>
        <v>instr52</v>
      </c>
      <c r="F48" s="5">
        <f>RTD("qxlrtd",,$B$1,$B$8,"`","bid","",D48)</f>
        <v>80.707400944083929</v>
      </c>
    </row>
    <row r="49" spans="1:6" x14ac:dyDescent="0.25">
      <c r="A49" s="5" t="s">
        <v>53</v>
      </c>
      <c r="B49" s="5">
        <f>RTD("qxlrtd",,$B$1,$B$8,$A49,"bid")</f>
        <v>3.745125001296401</v>
      </c>
      <c r="D49" s="5">
        <v>39</v>
      </c>
      <c r="E49" s="5" t="str">
        <f>RTD("qxlrtd",,$B$1,$B$8,"`","sym","",D49)</f>
        <v>instr16</v>
      </c>
      <c r="F49" s="5">
        <f>RTD("qxlrtd",,$B$1,$B$8,"`","bid","",D49)</f>
        <v>55.076145566999912</v>
      </c>
    </row>
    <row r="50" spans="1:6" x14ac:dyDescent="0.25">
      <c r="A50" s="5" t="s">
        <v>54</v>
      </c>
      <c r="B50" s="5" t="e">
        <f>RTD("qxlrtd",,$B$1,$B$8,$A50,"bid")</f>
        <v>#N/A</v>
      </c>
      <c r="D50" s="5">
        <v>40</v>
      </c>
      <c r="E50" s="5" t="str">
        <f>RTD("qxlrtd",,$B$1,$B$8,"`","sym","",D50)</f>
        <v>instr94</v>
      </c>
      <c r="F50" s="5">
        <f>RTD("qxlrtd",,$B$1,$B$8,"`","bid","",D50)</f>
        <v>60.660740477032959</v>
      </c>
    </row>
    <row r="51" spans="1:6" x14ac:dyDescent="0.25">
      <c r="A51" s="5" t="s">
        <v>55</v>
      </c>
      <c r="B51" s="5">
        <f>RTD("qxlrtd",,$B$1,$B$8,$A51,"bid")</f>
        <v>11.048275511711836</v>
      </c>
      <c r="D51" s="5">
        <v>41</v>
      </c>
      <c r="E51" s="5" t="str">
        <f>RTD("qxlrtd",,$B$1,$B$8,"`","sym","",D51)</f>
        <v>instr24</v>
      </c>
      <c r="F51" s="5">
        <f>RTD("qxlrtd",,$B$1,$B$8,"`","bid","",D51)</f>
        <v>8.2459286553785205</v>
      </c>
    </row>
    <row r="52" spans="1:6" x14ac:dyDescent="0.25">
      <c r="A52" s="5" t="s">
        <v>56</v>
      </c>
      <c r="B52" s="5" t="e">
        <f>RTD("qxlrtd",,$B$1,$B$8,$A52,"bid")</f>
        <v>#N/A</v>
      </c>
      <c r="D52" s="5">
        <v>42</v>
      </c>
      <c r="E52" s="5" t="str">
        <f>RTD("qxlrtd",,$B$1,$B$8,"`","sym","",D52)</f>
        <v>instr12</v>
      </c>
      <c r="F52" s="5">
        <f>RTD("qxlrtd",,$B$1,$B$8,"`","bid","",D52)</f>
        <v>56.273350119590759</v>
      </c>
    </row>
    <row r="53" spans="1:6" x14ac:dyDescent="0.25">
      <c r="A53" s="5" t="s">
        <v>57</v>
      </c>
      <c r="B53" s="5">
        <f>RTD("qxlrtd",,$B$1,$B$8,$A53,"bid")</f>
        <v>95.641123200766742</v>
      </c>
      <c r="D53" s="5">
        <v>43</v>
      </c>
      <c r="E53" s="5" t="str">
        <f>RTD("qxlrtd",,$B$1,$B$8,"`","sym","",D53)</f>
        <v>instr35</v>
      </c>
      <c r="F53" s="5">
        <f>RTD("qxlrtd",,$B$1,$B$8,"`","bid","",D53)</f>
        <v>58.60369885340333</v>
      </c>
    </row>
    <row r="54" spans="1:6" x14ac:dyDescent="0.25">
      <c r="A54" s="5" t="s">
        <v>58</v>
      </c>
      <c r="B54" s="5">
        <f>RTD("qxlrtd",,$B$1,$B$8,$A54,"bid")</f>
        <v>39.257363579235971</v>
      </c>
      <c r="D54" s="5">
        <v>44</v>
      </c>
      <c r="E54" s="5" t="str">
        <f>RTD("qxlrtd",,$B$1,$B$8,"`","sym","",D54)</f>
        <v>instr46</v>
      </c>
      <c r="F54" s="5">
        <f>RTD("qxlrtd",,$B$1,$B$8,"`","bid","",D54)</f>
        <v>22.375171189196408</v>
      </c>
    </row>
    <row r="55" spans="1:6" x14ac:dyDescent="0.25">
      <c r="A55" s="5" t="s">
        <v>59</v>
      </c>
      <c r="B55" s="5" t="e">
        <f>RTD("qxlrtd",,$B$1,$B$8,$A55,"bid")</f>
        <v>#N/A</v>
      </c>
      <c r="D55" s="5">
        <v>45</v>
      </c>
      <c r="E55" s="5" t="str">
        <f>RTD("qxlrtd",,$B$1,$B$8,"`","sym","",D55)</f>
        <v>instr60</v>
      </c>
      <c r="F55" s="5">
        <f>RTD("qxlrtd",,$B$1,$B$8,"`","bid","",D55)</f>
        <v>12.601671204902232</v>
      </c>
    </row>
    <row r="56" spans="1:6" x14ac:dyDescent="0.25">
      <c r="A56" s="5" t="s">
        <v>60</v>
      </c>
      <c r="B56" s="5" t="e">
        <f>RTD("qxlrtd",,$B$1,$B$8,$A56,"bid")</f>
        <v>#N/A</v>
      </c>
      <c r="D56" s="5">
        <v>46</v>
      </c>
      <c r="E56" s="5" t="str">
        <f>RTD("qxlrtd",,$B$1,$B$8,"`","sym","",D56)</f>
        <v>instr75</v>
      </c>
      <c r="F56" s="5">
        <f>RTD("qxlrtd",,$B$1,$B$8,"`","bid","",D56)</f>
        <v>98.215238261036575</v>
      </c>
    </row>
    <row r="57" spans="1:6" x14ac:dyDescent="0.25">
      <c r="A57" s="5" t="s">
        <v>61</v>
      </c>
      <c r="B57" s="5">
        <f>RTD("qxlrtd",,$B$1,$B$8,$A57,"bid")</f>
        <v>22.375171189196408</v>
      </c>
      <c r="D57" s="5">
        <v>47</v>
      </c>
      <c r="E57" s="5" t="str">
        <f>RTD("qxlrtd",,$B$1,$B$8,"`","sym","",D57)</f>
        <v>instr48</v>
      </c>
      <c r="F57" s="5">
        <f>RTD("qxlrtd",,$B$1,$B$8,"`","bid","",D57)</f>
        <v>21.379079227335751</v>
      </c>
    </row>
    <row r="58" spans="1:6" x14ac:dyDescent="0.25">
      <c r="A58" s="5" t="s">
        <v>62</v>
      </c>
      <c r="B58" s="5">
        <f>RTD("qxlrtd",,$B$1,$B$8,$A58,"bid")</f>
        <v>9.1003326466307044</v>
      </c>
      <c r="D58" s="5">
        <v>48</v>
      </c>
      <c r="E58" s="5" t="str">
        <f>RTD("qxlrtd",,$B$1,$B$8,"`","sym","",D58)</f>
        <v>instr89</v>
      </c>
      <c r="F58" s="5">
        <f>RTD("qxlrtd",,$B$1,$B$8,"`","bid","",D58)</f>
        <v>34.796640463173389</v>
      </c>
    </row>
    <row r="59" spans="1:6" x14ac:dyDescent="0.25">
      <c r="A59" s="5" t="s">
        <v>63</v>
      </c>
      <c r="B59" s="5">
        <f>RTD("qxlrtd",,$B$1,$B$8,$A59,"bid")</f>
        <v>21.379079227335751</v>
      </c>
      <c r="D59" s="5">
        <v>49</v>
      </c>
      <c r="E59" s="5" t="str">
        <f>RTD("qxlrtd",,$B$1,$B$8,"`","sym","",D59)</f>
        <v>instr85</v>
      </c>
      <c r="F59" s="5">
        <f>RTD("qxlrtd",,$B$1,$B$8,"`","bid","",D59)</f>
        <v>4.6747691929340363</v>
      </c>
    </row>
    <row r="60" spans="1:6" x14ac:dyDescent="0.25">
      <c r="A60" s="5" t="s">
        <v>64</v>
      </c>
      <c r="B60" s="5" t="e">
        <f>RTD("qxlrtd",,$B$1,$B$8,$A60,"bid")</f>
        <v>#N/A</v>
      </c>
      <c r="D60" s="5">
        <v>50</v>
      </c>
      <c r="E60" s="5" t="str">
        <f>RTD("qxlrtd",,$B$1,$B$8,"`","sym","",D60)</f>
        <v>instr23</v>
      </c>
      <c r="F60" s="5">
        <f>RTD("qxlrtd",,$B$1,$B$8,"`","bid","",D60)</f>
        <v>32.010837737470865</v>
      </c>
    </row>
    <row r="61" spans="1:6" x14ac:dyDescent="0.25">
      <c r="A61" s="5" t="s">
        <v>65</v>
      </c>
      <c r="B61" s="5">
        <f>RTD("qxlrtd",,$B$1,$B$8,$A61,"bid")</f>
        <v>79.809695365838706</v>
      </c>
      <c r="D61" s="5">
        <v>51</v>
      </c>
      <c r="E61" s="5" t="str">
        <f>RTD("qxlrtd",,$B$1,$B$8,"`","sym","",D61)</f>
        <v>instr38</v>
      </c>
      <c r="F61" s="5">
        <f>RTD("qxlrtd",,$B$1,$B$8,"`","bid","",D61)</f>
        <v>3.745125001296401</v>
      </c>
    </row>
    <row r="62" spans="1:6" x14ac:dyDescent="0.25">
      <c r="A62" s="5" t="s">
        <v>66</v>
      </c>
      <c r="B62" s="5">
        <f>RTD("qxlrtd",,$B$1,$B$8,$A62,"bid")</f>
        <v>16.421348275616765</v>
      </c>
      <c r="D62" s="5">
        <v>52</v>
      </c>
      <c r="E62" s="5" t="str">
        <f>RTD("qxlrtd",,$B$1,$B$8,"`","sym","",D62)</f>
        <v>instr81</v>
      </c>
      <c r="F62" s="5">
        <f>RTD("qxlrtd",,$B$1,$B$8,"`","bid","",D62)</f>
        <v>11.791051458567381</v>
      </c>
    </row>
    <row r="63" spans="1:6" x14ac:dyDescent="0.25">
      <c r="A63" s="5" t="s">
        <v>67</v>
      </c>
      <c r="B63" s="5">
        <f>RTD("qxlrtd",,$B$1,$B$8,$A63,"bid")</f>
        <v>80.707400944083929</v>
      </c>
      <c r="D63" s="5">
        <v>53</v>
      </c>
      <c r="E63" s="5" t="str">
        <f>RTD("qxlrtd",,$B$1,$B$8,"`","sym","",D63)</f>
        <v>instr19</v>
      </c>
      <c r="F63" s="5">
        <f>RTD("qxlrtd",,$B$1,$B$8,"`","bid","",D63)</f>
        <v>19.601107877679169</v>
      </c>
    </row>
    <row r="64" spans="1:6" x14ac:dyDescent="0.25">
      <c r="A64" s="5" t="s">
        <v>68</v>
      </c>
      <c r="B64" s="5">
        <f>RTD("qxlrtd",,$B$1,$B$8,$A64,"bid")</f>
        <v>79.595282697118819</v>
      </c>
      <c r="D64" s="5">
        <v>54</v>
      </c>
      <c r="E64" s="5" t="str">
        <f>RTD("qxlrtd",,$B$1,$B$8,"`","sym","",D64)</f>
        <v>instr66</v>
      </c>
      <c r="F64" s="5">
        <f>RTD("qxlrtd",,$B$1,$B$8,"`","bid","",D64)</f>
        <v>43.172542215324938</v>
      </c>
    </row>
    <row r="65" spans="1:6" x14ac:dyDescent="0.25">
      <c r="A65" s="5" t="s">
        <v>69</v>
      </c>
      <c r="B65" s="5">
        <f>RTD("qxlrtd",,$B$1,$B$8,$A65,"bid")</f>
        <v>35.264248703606427</v>
      </c>
      <c r="D65" s="5">
        <v>55</v>
      </c>
      <c r="E65" s="5" t="str">
        <f>RTD("qxlrtd",,$B$1,$B$8,"`","sym","",D65)</f>
        <v>instr68</v>
      </c>
      <c r="F65" s="5">
        <f>RTD("qxlrtd",,$B$1,$B$8,"`","bid","",D65)</f>
        <v>56.803350592963398</v>
      </c>
    </row>
    <row r="66" spans="1:6" x14ac:dyDescent="0.25">
      <c r="A66" s="5" t="s">
        <v>70</v>
      </c>
      <c r="B66" s="5">
        <f>RTD("qxlrtd",,$B$1,$B$8,$A66,"bid")</f>
        <v>19.932047557085752</v>
      </c>
      <c r="D66" s="5">
        <v>56</v>
      </c>
      <c r="E66" s="5" t="str">
        <f>RTD("qxlrtd",,$B$1,$B$8,"`","sym","",D66)</f>
        <v>instr9</v>
      </c>
      <c r="F66" s="5">
        <f>RTD("qxlrtd",,$B$1,$B$8,"`","bid","",D66)</f>
        <v>96.616719197481871</v>
      </c>
    </row>
    <row r="67" spans="1:6" x14ac:dyDescent="0.25">
      <c r="A67" s="5" t="s">
        <v>71</v>
      </c>
      <c r="B67" s="5">
        <f>RTD("qxlrtd",,$B$1,$B$8,$A67,"bid")</f>
        <v>92.480144486762583</v>
      </c>
      <c r="D67" s="5">
        <v>57</v>
      </c>
      <c r="E67" s="5" t="str">
        <f>RTD("qxlrtd",,$B$1,$B$8,"`","sym","",D67)</f>
        <v>instr78</v>
      </c>
      <c r="F67" s="5">
        <f>RTD("qxlrtd",,$B$1,$B$8,"`","bid","",D67)</f>
        <v>41.420680400915444</v>
      </c>
    </row>
    <row r="68" spans="1:6" x14ac:dyDescent="0.25">
      <c r="A68" s="5" t="s">
        <v>72</v>
      </c>
      <c r="B68" s="5">
        <f>RTD("qxlrtd",,$B$1,$B$8,$A68,"bid")</f>
        <v>99.889565003104508</v>
      </c>
      <c r="D68" s="5">
        <v>58</v>
      </c>
      <c r="E68" s="5" t="str">
        <f>RTD("qxlrtd",,$B$1,$B$8,"`","sym","",D68)</f>
        <v>instr71</v>
      </c>
      <c r="F68" s="5">
        <f>RTD("qxlrtd",,$B$1,$B$8,"`","bid","",D68)</f>
        <v>91.193720023147762</v>
      </c>
    </row>
    <row r="69" spans="1:6" x14ac:dyDescent="0.25">
      <c r="A69" s="5" t="s">
        <v>73</v>
      </c>
      <c r="B69" s="5" t="e">
        <f>RTD("qxlrtd",,$B$1,$B$8,$A69,"bid")</f>
        <v>#N/A</v>
      </c>
      <c r="D69" s="5">
        <v>59</v>
      </c>
      <c r="E69" s="5" t="str">
        <f>RTD("qxlrtd",,$B$1,$B$8,"`","sym","",D69)</f>
        <v>instr99</v>
      </c>
      <c r="F69" s="5">
        <f>RTD("qxlrtd",,$B$1,$B$8,"`","bid","",D69)</f>
        <v>92.392843309789896</v>
      </c>
    </row>
    <row r="70" spans="1:6" x14ac:dyDescent="0.25">
      <c r="A70" s="5" t="s">
        <v>74</v>
      </c>
      <c r="B70" s="5">
        <f>RTD("qxlrtd",,$B$1,$B$8,$A70,"bid")</f>
        <v>90.11314744129777</v>
      </c>
      <c r="D70" s="5">
        <v>60</v>
      </c>
      <c r="E70" s="5" t="str">
        <f>RTD("qxlrtd",,$B$1,$B$8,"`","sym","",D70)</f>
        <v>instr93</v>
      </c>
      <c r="F70" s="5">
        <f>RTD("qxlrtd",,$B$1,$B$8,"`","bid","",D70)</f>
        <v>7.7515029348433018</v>
      </c>
    </row>
    <row r="71" spans="1:6" x14ac:dyDescent="0.25">
      <c r="A71" s="5" t="s">
        <v>75</v>
      </c>
      <c r="B71" s="5">
        <f>RTD("qxlrtd",,$B$1,$B$8,$A71,"bid")</f>
        <v>12.601671204902232</v>
      </c>
      <c r="D71" s="5">
        <v>61</v>
      </c>
      <c r="E71" s="5" t="str">
        <f>RTD("qxlrtd",,$B$1,$B$8,"`","sym","",D71)</f>
        <v>instr76</v>
      </c>
      <c r="F71" s="5">
        <f>RTD("qxlrtd",,$B$1,$B$8,"`","bid","",D71)</f>
        <v>95.757080777548254</v>
      </c>
    </row>
    <row r="72" spans="1:6" x14ac:dyDescent="0.25">
      <c r="A72" s="5" t="s">
        <v>76</v>
      </c>
      <c r="B72" s="5">
        <f>RTD("qxlrtd",,$B$1,$B$8,$A72,"bid")</f>
        <v>56.28765681758523</v>
      </c>
      <c r="D72" s="5">
        <v>62</v>
      </c>
      <c r="E72" s="5" t="str">
        <f>RTD("qxlrtd",,$B$1,$B$8,"`","sym","",D72)</f>
        <v>instr13</v>
      </c>
      <c r="F72" s="5">
        <f>RTD("qxlrtd",,$B$1,$B$8,"`","bid","",D72)</f>
        <v>60.996431251987815</v>
      </c>
    </row>
    <row r="73" spans="1:6" x14ac:dyDescent="0.25">
      <c r="A73" s="5" t="s">
        <v>77</v>
      </c>
      <c r="B73" s="5">
        <f>RTD("qxlrtd",,$B$1,$B$8,$A73,"bid")</f>
        <v>9.3369944021105766</v>
      </c>
      <c r="D73" s="5">
        <v>63</v>
      </c>
      <c r="E73" s="5" t="str">
        <f>RTD("qxlrtd",,$B$1,$B$8,"`","sym","",D73)</f>
        <v>instr87</v>
      </c>
      <c r="F73" s="5">
        <f>RTD("qxlrtd",,$B$1,$B$8,"`","bid","",D73)</f>
        <v>19.935785955749452</v>
      </c>
    </row>
    <row r="74" spans="1:6" x14ac:dyDescent="0.25">
      <c r="A74" s="5" t="s">
        <v>78</v>
      </c>
      <c r="B74" s="5">
        <f>RTD("qxlrtd",,$B$1,$B$8,$A74,"bid")</f>
        <v>65.423834114335477</v>
      </c>
      <c r="D74" s="5">
        <v>64</v>
      </c>
      <c r="E74" s="5" t="str">
        <f>RTD("qxlrtd",,$B$1,$B$8,"`","sym","",D74)</f>
        <v>instr11</v>
      </c>
      <c r="F74" s="5">
        <f>RTD("qxlrtd",,$B$1,$B$8,"`","bid","",D74)</f>
        <v>63.747296435758471</v>
      </c>
    </row>
    <row r="75" spans="1:6" x14ac:dyDescent="0.25">
      <c r="A75" s="5" t="s">
        <v>79</v>
      </c>
      <c r="B75" s="5">
        <f>RTD("qxlrtd",,$B$1,$B$8,$A75,"bid")</f>
        <v>18.923375080339611</v>
      </c>
      <c r="D75" s="5">
        <v>65</v>
      </c>
      <c r="E75" s="5" t="str">
        <f>RTD("qxlrtd",,$B$1,$B$8,"`","sym","",D75)</f>
        <v>instr90</v>
      </c>
      <c r="F75" s="5">
        <f>RTD("qxlrtd",,$B$1,$B$8,"`","bid","",D75)</f>
        <v>6.3308521173894405</v>
      </c>
    </row>
    <row r="76" spans="1:6" x14ac:dyDescent="0.25">
      <c r="A76" s="5" t="s">
        <v>80</v>
      </c>
      <c r="B76" s="5" t="e">
        <f>RTD("qxlrtd",,$B$1,$B$8,$A76,"bid")</f>
        <v>#N/A</v>
      </c>
      <c r="D76" s="5">
        <v>66</v>
      </c>
      <c r="E76" s="5" t="str">
        <f>RTD("qxlrtd",,$B$1,$B$8,"`","sym","",D76)</f>
        <v>instr83</v>
      </c>
      <c r="F76" s="5">
        <f>RTD("qxlrtd",,$B$1,$B$8,"`","bid","",D76)</f>
        <v>54.275851650163531</v>
      </c>
    </row>
    <row r="77" spans="1:6" x14ac:dyDescent="0.25">
      <c r="A77" s="5" t="s">
        <v>81</v>
      </c>
      <c r="B77" s="5">
        <f>RTD("qxlrtd",,$B$1,$B$8,$A77,"bid")</f>
        <v>43.172542215324938</v>
      </c>
      <c r="D77" s="5">
        <v>67</v>
      </c>
      <c r="E77" s="5" t="str">
        <f>RTD("qxlrtd",,$B$1,$B$8,"`","sym","",D77)</f>
        <v>instr61</v>
      </c>
      <c r="F77" s="5">
        <f>RTD("qxlrtd",,$B$1,$B$8,"`","bid","",D77)</f>
        <v>56.28765681758523</v>
      </c>
    </row>
    <row r="78" spans="1:6" x14ac:dyDescent="0.25">
      <c r="A78" s="5" t="s">
        <v>82</v>
      </c>
      <c r="B78" s="5">
        <f>RTD("qxlrtd",,$B$1,$B$8,$A78,"bid")</f>
        <v>13.544280314818025</v>
      </c>
      <c r="D78" s="5">
        <v>68</v>
      </c>
      <c r="E78" s="5" t="str">
        <f>RTD("qxlrtd",,$B$1,$B$8,"`","sym","",D78)</f>
        <v>instr6</v>
      </c>
      <c r="F78" s="5">
        <f>RTD("qxlrtd",,$B$1,$B$8,"`","bid","",D78)</f>
        <v>58.885649894364178</v>
      </c>
    </row>
    <row r="79" spans="1:6" x14ac:dyDescent="0.25">
      <c r="A79" s="5" t="s">
        <v>83</v>
      </c>
      <c r="B79" s="5">
        <f>RTD("qxlrtd",,$B$1,$B$8,$A79,"bid")</f>
        <v>56.803350592963398</v>
      </c>
      <c r="D79" s="5">
        <v>69</v>
      </c>
      <c r="E79" s="5" t="str">
        <f>RTD("qxlrtd",,$B$1,$B$8,"`","sym","",D79)</f>
        <v>instr25</v>
      </c>
      <c r="F79" s="5">
        <f>RTD("qxlrtd",,$B$1,$B$8,"`","bid","",D79)</f>
        <v>97.880113939754665</v>
      </c>
    </row>
    <row r="80" spans="1:6" x14ac:dyDescent="0.25">
      <c r="A80" s="5" t="s">
        <v>84</v>
      </c>
      <c r="B80" s="5">
        <f>RTD("qxlrtd",,$B$1,$B$8,$A80,"bid")</f>
        <v>60.885513457469642</v>
      </c>
      <c r="D80" s="5">
        <v>70</v>
      </c>
      <c r="E80" s="5" t="str">
        <f>RTD("qxlrtd",,$B$1,$B$8,"`","sym","",D80)</f>
        <v>instr56</v>
      </c>
      <c r="F80" s="5">
        <f>RTD("qxlrtd",,$B$1,$B$8,"`","bid","",D80)</f>
        <v>92.480144486762583</v>
      </c>
    </row>
    <row r="81" spans="1:6" x14ac:dyDescent="0.25">
      <c r="A81" s="5" t="s">
        <v>85</v>
      </c>
      <c r="B81" s="5" t="e">
        <f>RTD("qxlrtd",,$B$1,$B$8,$A81,"bid")</f>
        <v>#N/A</v>
      </c>
      <c r="D81" s="5">
        <v>71</v>
      </c>
      <c r="E81" s="5" t="str">
        <f>RTD("qxlrtd",,$B$1,$B$8,"`","sym","",D81)</f>
        <v>instr37</v>
      </c>
      <c r="F81" s="5">
        <f>RTD("qxlrtd",,$B$1,$B$8,"`","bid","",D81)</f>
        <v>92.872442957013845</v>
      </c>
    </row>
    <row r="82" spans="1:6" x14ac:dyDescent="0.25">
      <c r="A82" s="5" t="s">
        <v>86</v>
      </c>
      <c r="B82" s="5">
        <f>RTD("qxlrtd",,$B$1,$B$8,$A82,"bid")</f>
        <v>91.193720023147762</v>
      </c>
      <c r="D82" s="5">
        <v>72</v>
      </c>
      <c r="E82" s="5" t="str">
        <f>RTD("qxlrtd",,$B$1,$B$8,"`","sym","",D82)</f>
        <v>instr10</v>
      </c>
      <c r="F82" s="5">
        <f>RTD("qxlrtd",,$B$1,$B$8,"`","bid","",D82)</f>
        <v>77.985310438089073</v>
      </c>
    </row>
    <row r="83" spans="1:6" x14ac:dyDescent="0.25">
      <c r="A83" s="5" t="s">
        <v>87</v>
      </c>
      <c r="B83" s="5">
        <f>RTD("qxlrtd",,$B$1,$B$8,$A83,"bid")</f>
        <v>68.407958257012069</v>
      </c>
      <c r="D83" s="5">
        <v>73</v>
      </c>
      <c r="E83" s="5" t="str">
        <f>RTD("qxlrtd",,$B$1,$B$8,"`","sym","",D83)</f>
        <v>instr31</v>
      </c>
      <c r="F83" s="5">
        <f>RTD("qxlrtd",,$B$1,$B$8,"`","bid","",D83)</f>
        <v>31.032750406302512</v>
      </c>
    </row>
    <row r="84" spans="1:6" x14ac:dyDescent="0.25">
      <c r="A84" s="5" t="s">
        <v>88</v>
      </c>
      <c r="B84" s="5">
        <f>RTD("qxlrtd",,$B$1,$B$8,$A84,"bid")</f>
        <v>96.570491418242455</v>
      </c>
      <c r="D84" s="5">
        <v>74</v>
      </c>
      <c r="E84" s="5" t="str">
        <f>RTD("qxlrtd",,$B$1,$B$8,"`","sym","",D84)</f>
        <v>instr74</v>
      </c>
      <c r="F84" s="5">
        <f>RTD("qxlrtd",,$B$1,$B$8,"`","bid","",D84)</f>
        <v>37.992359045892954</v>
      </c>
    </row>
    <row r="85" spans="1:6" x14ac:dyDescent="0.25">
      <c r="A85" s="5" t="s">
        <v>89</v>
      </c>
      <c r="B85" s="5">
        <f>RTD("qxlrtd",,$B$1,$B$8,$A85,"bid")</f>
        <v>37.992359045892954</v>
      </c>
      <c r="D85" s="5">
        <v>75</v>
      </c>
      <c r="E85" s="5" t="str">
        <f>RTD("qxlrtd",,$B$1,$B$8,"`","sym","",D85)</f>
        <v>instr82</v>
      </c>
      <c r="F85" s="5">
        <f>RTD("qxlrtd",,$B$1,$B$8,"`","bid","",D85)</f>
        <v>37.979913130402565</v>
      </c>
    </row>
    <row r="86" spans="1:6" x14ac:dyDescent="0.25">
      <c r="A86" s="5" t="s">
        <v>90</v>
      </c>
      <c r="B86" s="5">
        <f>RTD("qxlrtd",,$B$1,$B$8,$A86,"bid")</f>
        <v>98.215238261036575</v>
      </c>
      <c r="D86" s="5">
        <v>76</v>
      </c>
      <c r="E86" s="5" t="str">
        <f>RTD("qxlrtd",,$B$1,$B$8,"`","sym","",D86)</f>
        <v>instr18</v>
      </c>
      <c r="F86" s="5">
        <f>RTD("qxlrtd",,$B$1,$B$8,"`","bid","",D86)</f>
        <v>75.982584175653756</v>
      </c>
    </row>
    <row r="87" spans="1:6" x14ac:dyDescent="0.25">
      <c r="A87" s="5" t="s">
        <v>91</v>
      </c>
      <c r="B87" s="5">
        <f>RTD("qxlrtd",,$B$1,$B$8,$A87,"bid")</f>
        <v>95.757080777548254</v>
      </c>
      <c r="D87" s="5">
        <v>77</v>
      </c>
      <c r="E87" s="5" t="str">
        <f>RTD("qxlrtd",,$B$1,$B$8,"`","sym","",D87)</f>
        <v>instr98</v>
      </c>
      <c r="F87" s="5">
        <f>RTD("qxlrtd",,$B$1,$B$8,"`","bid","",D87)</f>
        <v>32.970932614989579</v>
      </c>
    </row>
    <row r="88" spans="1:6" x14ac:dyDescent="0.25">
      <c r="A88" s="5" t="s">
        <v>92</v>
      </c>
      <c r="B88" s="5">
        <f>RTD("qxlrtd",,$B$1,$B$8,$A88,"bid")</f>
        <v>91.072434326633811</v>
      </c>
      <c r="D88" s="5">
        <v>78</v>
      </c>
      <c r="E88" s="5" t="str">
        <f>RTD("qxlrtd",,$B$1,$B$8,"`","sym","",D88)</f>
        <v>instr86</v>
      </c>
      <c r="F88" s="5">
        <f>RTD("qxlrtd",,$B$1,$B$8,"`","bid","",D88)</f>
        <v>10.066795977763832</v>
      </c>
    </row>
    <row r="89" spans="1:6" x14ac:dyDescent="0.25">
      <c r="A89" s="5" t="s">
        <v>93</v>
      </c>
      <c r="B89" s="5">
        <f>RTD("qxlrtd",,$B$1,$B$8,$A89,"bid")</f>
        <v>41.420680400915444</v>
      </c>
      <c r="D89" s="5">
        <v>79</v>
      </c>
      <c r="E89" s="5" t="str">
        <f>RTD("qxlrtd",,$B$1,$B$8,"`","sym","",D89)</f>
        <v>instr1</v>
      </c>
      <c r="F89" s="5">
        <f>RTD("qxlrtd",,$B$1,$B$8,"`","bid","",D89)</f>
        <v>77.101654186844826</v>
      </c>
    </row>
    <row r="90" spans="1:6" x14ac:dyDescent="0.25">
      <c r="A90" s="5" t="s">
        <v>94</v>
      </c>
      <c r="B90" s="5">
        <f>RTD("qxlrtd",,$B$1,$B$8,$A90,"bid")</f>
        <v>68.595143081620336</v>
      </c>
      <c r="D90" s="5">
        <v>80</v>
      </c>
      <c r="E90" s="5" t="str">
        <f>RTD("qxlrtd",,$B$1,$B$8,"`","sym","",D90)</f>
        <v>instr27</v>
      </c>
      <c r="F90" s="5">
        <f>RTD("qxlrtd",,$B$1,$B$8,"`","bid","",D90)</f>
        <v>38.053546543233097</v>
      </c>
    </row>
    <row r="91" spans="1:6" x14ac:dyDescent="0.25">
      <c r="A91" s="5" t="s">
        <v>95</v>
      </c>
      <c r="B91" s="5">
        <f>RTD("qxlrtd",,$B$1,$B$8,$A91,"bid")</f>
        <v>32.426919532008469</v>
      </c>
      <c r="D91" s="5">
        <v>81</v>
      </c>
      <c r="E91" s="5" t="str">
        <f>RTD("qxlrtd",,$B$1,$B$8,"`","sym","",D91)</f>
        <v>instr67</v>
      </c>
      <c r="F91" s="5">
        <f>RTD("qxlrtd",,$B$1,$B$8,"`","bid","",D91)</f>
        <v>13.544280314818025</v>
      </c>
    </row>
    <row r="92" spans="1:6" x14ac:dyDescent="0.25">
      <c r="A92" s="5" t="s">
        <v>96</v>
      </c>
      <c r="B92" s="5">
        <f>RTD("qxlrtd",,$B$1,$B$8,$A92,"bid")</f>
        <v>11.791051458567381</v>
      </c>
      <c r="D92" s="5">
        <v>82</v>
      </c>
      <c r="E92" s="5" t="str">
        <f>RTD("qxlrtd",,$B$1,$B$8,"`","sym","",D92)</f>
        <v>instr3</v>
      </c>
      <c r="F92" s="5">
        <f>RTD("qxlrtd",,$B$1,$B$8,"`","bid","",D92)</f>
        <v>44.895711122080684</v>
      </c>
    </row>
    <row r="93" spans="1:6" x14ac:dyDescent="0.25">
      <c r="A93" s="5" t="s">
        <v>97</v>
      </c>
      <c r="B93" s="5">
        <f>RTD("qxlrtd",,$B$1,$B$8,$A93,"bid")</f>
        <v>37.979913130402565</v>
      </c>
      <c r="D93" s="5">
        <v>83</v>
      </c>
      <c r="E93" s="5" t="str">
        <f>RTD("qxlrtd",,$B$1,$B$8,"`","sym","",D93)</f>
        <v>instr72</v>
      </c>
      <c r="F93" s="5">
        <f>RTD("qxlrtd",,$B$1,$B$8,"`","bid","",D93)</f>
        <v>68.407958257012069</v>
      </c>
    </row>
    <row r="94" spans="1:6" x14ac:dyDescent="0.25">
      <c r="A94" s="5" t="s">
        <v>98</v>
      </c>
      <c r="B94" s="5">
        <f>RTD("qxlrtd",,$B$1,$B$8,$A94,"bid")</f>
        <v>54.275851650163531</v>
      </c>
      <c r="D94" s="5">
        <v>84</v>
      </c>
      <c r="E94" s="5" t="str">
        <f>RTD("qxlrtd",,$B$1,$B$8,"`","sym","",D94)</f>
        <v>instr63</v>
      </c>
      <c r="F94" s="5">
        <f>RTD("qxlrtd",,$B$1,$B$8,"`","bid","",D94)</f>
        <v>65.423834114335477</v>
      </c>
    </row>
    <row r="95" spans="1:6" x14ac:dyDescent="0.25">
      <c r="A95" s="5" t="s">
        <v>99</v>
      </c>
      <c r="B95" s="5">
        <f>RTD("qxlrtd",,$B$1,$B$8,$A95,"bid")</f>
        <v>47.780602355487645</v>
      </c>
      <c r="D95" s="5">
        <v>85</v>
      </c>
      <c r="E95" s="5" t="e">
        <f>RTD("qxlrtd",,$B$1,$B$8,"`","sym","",D95)</f>
        <v>#N/A</v>
      </c>
      <c r="F95" s="5" t="e">
        <f>RTD("qxlrtd",,$B$1,$B$8,"`","bid","",D95)</f>
        <v>#N/A</v>
      </c>
    </row>
    <row r="96" spans="1:6" x14ac:dyDescent="0.25">
      <c r="A96" s="5" t="s">
        <v>100</v>
      </c>
      <c r="B96" s="5">
        <f>RTD("qxlrtd",,$B$1,$B$8,$A96,"bid")</f>
        <v>4.6747691929340363</v>
      </c>
      <c r="D96" s="5">
        <v>86</v>
      </c>
      <c r="E96" s="5" t="e">
        <f>RTD("qxlrtd",,$B$1,$B$8,"`","sym","",D96)</f>
        <v>#N/A</v>
      </c>
      <c r="F96" s="5" t="e">
        <f>RTD("qxlrtd",,$B$1,$B$8,"`","bid","",D96)</f>
        <v>#N/A</v>
      </c>
    </row>
    <row r="97" spans="1:6" x14ac:dyDescent="0.25">
      <c r="A97" s="5" t="s">
        <v>101</v>
      </c>
      <c r="B97" s="5">
        <f>RTD("qxlrtd",,$B$1,$B$8,$A97,"bid")</f>
        <v>10.066795977763832</v>
      </c>
      <c r="D97" s="5">
        <v>87</v>
      </c>
      <c r="E97" s="5" t="e">
        <f>RTD("qxlrtd",,$B$1,$B$8,"`","sym","",D97)</f>
        <v>#N/A</v>
      </c>
      <c r="F97" s="5" t="e">
        <f>RTD("qxlrtd",,$B$1,$B$8,"`","bid","",D97)</f>
        <v>#N/A</v>
      </c>
    </row>
    <row r="98" spans="1:6" x14ac:dyDescent="0.25">
      <c r="A98" s="5" t="s">
        <v>102</v>
      </c>
      <c r="B98" s="5">
        <f>RTD("qxlrtd",,$B$1,$B$8,$A98,"bid")</f>
        <v>19.935785955749452</v>
      </c>
      <c r="D98" s="5">
        <v>88</v>
      </c>
      <c r="E98" s="5" t="e">
        <f>RTD("qxlrtd",,$B$1,$B$8,"`","sym","",D98)</f>
        <v>#N/A</v>
      </c>
      <c r="F98" s="5" t="e">
        <f>RTD("qxlrtd",,$B$1,$B$8,"`","bid","",D98)</f>
        <v>#N/A</v>
      </c>
    </row>
    <row r="99" spans="1:6" x14ac:dyDescent="0.25">
      <c r="A99" s="5" t="s">
        <v>103</v>
      </c>
      <c r="B99" s="5">
        <f>RTD("qxlrtd",,$B$1,$B$8,$A99,"bid")</f>
        <v>20.118091348558664</v>
      </c>
      <c r="D99" s="5">
        <v>89</v>
      </c>
      <c r="E99" s="5" t="e">
        <f>RTD("qxlrtd",,$B$1,$B$8,"`","sym","",D99)</f>
        <v>#N/A</v>
      </c>
      <c r="F99" s="5" t="e">
        <f>RTD("qxlrtd",,$B$1,$B$8,"`","bid","",D99)</f>
        <v>#N/A</v>
      </c>
    </row>
    <row r="100" spans="1:6" x14ac:dyDescent="0.25">
      <c r="A100" s="5" t="s">
        <v>104</v>
      </c>
      <c r="B100" s="5">
        <f>RTD("qxlrtd",,$B$1,$B$8,$A100,"bid")</f>
        <v>34.796640463173389</v>
      </c>
      <c r="D100" s="5">
        <v>90</v>
      </c>
      <c r="E100" s="5" t="e">
        <f>RTD("qxlrtd",,$B$1,$B$8,"`","sym","",D100)</f>
        <v>#N/A</v>
      </c>
      <c r="F100" s="5" t="e">
        <f>RTD("qxlrtd",,$B$1,$B$8,"`","bid","",D100)</f>
        <v>#N/A</v>
      </c>
    </row>
    <row r="101" spans="1:6" x14ac:dyDescent="0.25">
      <c r="A101" s="5" t="s">
        <v>105</v>
      </c>
      <c r="B101" s="5">
        <f>RTD("qxlrtd",,$B$1,$B$8,$A101,"bid")</f>
        <v>6.3308521173894405</v>
      </c>
      <c r="D101" s="5">
        <v>91</v>
      </c>
      <c r="E101" s="5" t="e">
        <f>RTD("qxlrtd",,$B$1,$B$8,"`","sym","",D101)</f>
        <v>#N/A</v>
      </c>
      <c r="F101" s="5" t="e">
        <f>RTD("qxlrtd",,$B$1,$B$8,"`","bid","",D101)</f>
        <v>#N/A</v>
      </c>
    </row>
    <row r="102" spans="1:6" x14ac:dyDescent="0.25">
      <c r="A102" s="5" t="s">
        <v>106</v>
      </c>
      <c r="B102" s="5">
        <f>RTD("qxlrtd",,$B$1,$B$8,$A102,"bid")</f>
        <v>47.792125423438847</v>
      </c>
      <c r="D102" s="5">
        <v>92</v>
      </c>
      <c r="E102" s="5" t="e">
        <f>RTD("qxlrtd",,$B$1,$B$8,"`","sym","",D102)</f>
        <v>#N/A</v>
      </c>
      <c r="F102" s="5" t="e">
        <f>RTD("qxlrtd",,$B$1,$B$8,"`","bid","",D102)</f>
        <v>#N/A</v>
      </c>
    </row>
    <row r="103" spans="1:6" x14ac:dyDescent="0.25">
      <c r="A103" s="5" t="s">
        <v>107</v>
      </c>
      <c r="B103" s="5">
        <f>RTD("qxlrtd",,$B$1,$B$8,$A103,"bid")</f>
        <v>2.2420872235670686</v>
      </c>
      <c r="D103" s="5">
        <v>93</v>
      </c>
      <c r="E103" s="5" t="e">
        <f>RTD("qxlrtd",,$B$1,$B$8,"`","sym","",D103)</f>
        <v>#N/A</v>
      </c>
      <c r="F103" s="5" t="e">
        <f>RTD("qxlrtd",,$B$1,$B$8,"`","bid","",D103)</f>
        <v>#N/A</v>
      </c>
    </row>
    <row r="104" spans="1:6" x14ac:dyDescent="0.25">
      <c r="A104" s="5" t="s">
        <v>108</v>
      </c>
      <c r="B104" s="5">
        <f>RTD("qxlrtd",,$B$1,$B$8,$A104,"bid")</f>
        <v>7.7515029348433018</v>
      </c>
      <c r="D104" s="5">
        <v>94</v>
      </c>
      <c r="E104" s="5" t="e">
        <f>RTD("qxlrtd",,$B$1,$B$8,"`","sym","",D104)</f>
        <v>#N/A</v>
      </c>
      <c r="F104" s="5" t="e">
        <f>RTD("qxlrtd",,$B$1,$B$8,"`","bid","",D104)</f>
        <v>#N/A</v>
      </c>
    </row>
    <row r="105" spans="1:6" x14ac:dyDescent="0.25">
      <c r="A105" s="5" t="s">
        <v>109</v>
      </c>
      <c r="B105" s="5">
        <f>RTD("qxlrtd",,$B$1,$B$8,$A105,"bid")</f>
        <v>60.660740477032959</v>
      </c>
      <c r="D105" s="5">
        <v>95</v>
      </c>
      <c r="E105" s="5" t="e">
        <f>RTD("qxlrtd",,$B$1,$B$8,"`","sym","",D105)</f>
        <v>#N/A</v>
      </c>
      <c r="F105" s="5" t="e">
        <f>RTD("qxlrtd",,$B$1,$B$8,"`","bid","",D105)</f>
        <v>#N/A</v>
      </c>
    </row>
    <row r="106" spans="1:6" x14ac:dyDescent="0.25">
      <c r="A106" s="5" t="s">
        <v>110</v>
      </c>
      <c r="B106" s="5" t="e">
        <f>RTD("qxlrtd",,$B$1,$B$8,$A106,"bid")</f>
        <v>#N/A</v>
      </c>
      <c r="D106" s="5">
        <v>96</v>
      </c>
      <c r="E106" s="5" t="e">
        <f>RTD("qxlrtd",,$B$1,$B$8,"`","sym","",D106)</f>
        <v>#N/A</v>
      </c>
      <c r="F106" s="5" t="e">
        <f>RTD("qxlrtd",,$B$1,$B$8,"`","bid","",D106)</f>
        <v>#N/A</v>
      </c>
    </row>
    <row r="107" spans="1:6" x14ac:dyDescent="0.25">
      <c r="A107" s="5" t="s">
        <v>111</v>
      </c>
      <c r="B107" s="5">
        <f>RTD("qxlrtd",,$B$1,$B$8,$A107,"bid")</f>
        <v>75.791710615158081</v>
      </c>
      <c r="D107" s="5">
        <v>97</v>
      </c>
      <c r="E107" s="5" t="e">
        <f>RTD("qxlrtd",,$B$1,$B$8,"`","sym","",D107)</f>
        <v>#N/A</v>
      </c>
      <c r="F107" s="5" t="e">
        <f>RTD("qxlrtd",,$B$1,$B$8,"`","bid","",D107)</f>
        <v>#N/A</v>
      </c>
    </row>
    <row r="108" spans="1:6" x14ac:dyDescent="0.25">
      <c r="A108" s="5" t="s">
        <v>112</v>
      </c>
      <c r="B108" s="5">
        <f>RTD("qxlrtd",,$B$1,$B$8,$A108,"bid")</f>
        <v>12.221980444155633</v>
      </c>
      <c r="D108" s="5">
        <v>98</v>
      </c>
      <c r="E108" s="5" t="e">
        <f>RTD("qxlrtd",,$B$1,$B$8,"`","sym","",D108)</f>
        <v>#N/A</v>
      </c>
      <c r="F108" s="5" t="e">
        <f>RTD("qxlrtd",,$B$1,$B$8,"`","bid","",D108)</f>
        <v>#N/A</v>
      </c>
    </row>
    <row r="109" spans="1:6" x14ac:dyDescent="0.25">
      <c r="A109" s="5" t="s">
        <v>113</v>
      </c>
      <c r="B109" s="5">
        <f>RTD("qxlrtd",,$B$1,$B$8,$A109,"bid")</f>
        <v>32.970932614989579</v>
      </c>
      <c r="D109" s="5">
        <v>99</v>
      </c>
      <c r="E109" s="5" t="e">
        <f>RTD("qxlrtd",,$B$1,$B$8,"`","sym","",D109)</f>
        <v>#N/A</v>
      </c>
      <c r="F109" s="5" t="e">
        <f>RTD("qxlrtd",,$B$1,$B$8,"`","bid","",D109)</f>
        <v>#N/A</v>
      </c>
    </row>
    <row r="110" spans="1:6" x14ac:dyDescent="0.25">
      <c r="A110" s="5" t="s">
        <v>114</v>
      </c>
      <c r="B110" s="5">
        <f>RTD("qxlrtd",,$B$1,$B$8,$A110,"bid")</f>
        <v>92.392843309789896</v>
      </c>
      <c r="D110" s="5">
        <v>100</v>
      </c>
      <c r="E110" s="5" t="e">
        <f>RTD("qxlrtd",,$B$1,$B$8,"`","sym","",D110)</f>
        <v>#N/A</v>
      </c>
      <c r="F110" s="5" t="e">
        <f>RTD("qxlrtd",,$B$1,$B$8,"`","bid","",D110)</f>
        <v>#N/A</v>
      </c>
    </row>
  </sheetData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Example</vt:lpstr>
    </vt:vector>
  </TitlesOfParts>
  <Company>DEVnet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Rafal Sytek</dc:creator>
  <cp:lastModifiedBy>Piotr Szawlis</cp:lastModifiedBy>
  <dcterms:created xsi:type="dcterms:W3CDTF">2014-06-23T10:39:03Z</dcterms:created>
  <dcterms:modified xsi:type="dcterms:W3CDTF">2014-09-11T06:02:51Z</dcterms:modified>
</cp:coreProperties>
</file>